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D165FFB1-871A-4E59-9425-262BD9DAE4C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강의배치" sheetId="1" r:id="rId1"/>
  </sheets>
  <definedNames>
    <definedName name="_xlnm.Print_Area" localSheetId="0">강의배치!$A$112:$F$201</definedName>
    <definedName name="_xlnm.Print_Titles" localSheetId="0">강의배치!$1:$3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82" i="1" l="1"/>
  <c r="I35" i="1" l="1"/>
  <c r="I34" i="1"/>
  <c r="I33" i="1"/>
  <c r="I32" i="1"/>
  <c r="I31" i="1"/>
  <c r="I30" i="1"/>
  <c r="I29" i="1"/>
  <c r="I28" i="1"/>
  <c r="I27" i="1"/>
  <c r="I26" i="1"/>
  <c r="K23" i="1"/>
  <c r="L22" i="1"/>
  <c r="M22" i="1" s="1"/>
  <c r="L21" i="1"/>
  <c r="M21" i="1" s="1"/>
  <c r="L20" i="1"/>
  <c r="M20" i="1" s="1"/>
  <c r="L19" i="1"/>
  <c r="M19" i="1" s="1"/>
  <c r="L18" i="1"/>
  <c r="M18" i="1" s="1"/>
  <c r="L17" i="1"/>
  <c r="M17" i="1" s="1"/>
  <c r="L16" i="1"/>
  <c r="M16" i="1" s="1"/>
  <c r="L15" i="1"/>
  <c r="M15" i="1" s="1"/>
  <c r="L14" i="1"/>
  <c r="M14" i="1" s="1"/>
  <c r="L13" i="1"/>
  <c r="M13" i="1" s="1"/>
  <c r="L12" i="1"/>
  <c r="M12" i="1" s="1"/>
  <c r="L11" i="1"/>
  <c r="M11" i="1" s="1"/>
  <c r="L10" i="1"/>
  <c r="M10" i="1" s="1"/>
  <c r="L9" i="1"/>
  <c r="M9" i="1" s="1"/>
  <c r="L8" i="1"/>
  <c r="M8" i="1" s="1"/>
  <c r="L7" i="1"/>
  <c r="M7" i="1" s="1"/>
  <c r="L6" i="1"/>
  <c r="L23" i="1" l="1"/>
  <c r="I36" i="1"/>
  <c r="M6" i="1"/>
  <c r="M23" i="1" s="1"/>
</calcChain>
</file>

<file path=xl/sharedStrings.xml><?xml version="1.0" encoding="utf-8"?>
<sst xmlns="http://schemas.openxmlformats.org/spreadsheetml/2006/main" count="2532" uniqueCount="229">
  <si>
    <t>장소 : 부산대학교 과학기술연구동 401호</t>
  </si>
  <si>
    <t>AI 학습모델 웹서비스 개발 프로젝트</t>
  </si>
  <si>
    <t>6월 8일</t>
  </si>
  <si>
    <t>6월 12일</t>
  </si>
  <si>
    <t>6월 9일</t>
  </si>
  <si>
    <t>6월 27일</t>
  </si>
  <si>
    <t>6월 28일</t>
  </si>
  <si>
    <t>6월 29일</t>
  </si>
  <si>
    <t>7월 4일</t>
  </si>
  <si>
    <t>6월 16일</t>
  </si>
  <si>
    <t>7월 6일</t>
  </si>
  <si>
    <t>7월 7일</t>
  </si>
  <si>
    <t>6월 23일</t>
  </si>
  <si>
    <t>6월 30일</t>
  </si>
  <si>
    <t>7월 5일</t>
  </si>
  <si>
    <t>7월 10일</t>
  </si>
  <si>
    <t>7월 14일</t>
  </si>
  <si>
    <t>6월 21일</t>
  </si>
  <si>
    <t>6월 14일</t>
  </si>
  <si>
    <t>6월 13일</t>
  </si>
  <si>
    <t>7월 11일</t>
  </si>
  <si>
    <t>7월 12일</t>
  </si>
  <si>
    <t>7월 13일</t>
  </si>
  <si>
    <t>6월 26일</t>
  </si>
  <si>
    <t>7월 3일</t>
  </si>
  <si>
    <t>수 방학시즌</t>
  </si>
  <si>
    <t xml:space="preserve">6월 19일 </t>
  </si>
  <si>
    <t>6월 15일</t>
  </si>
  <si>
    <t>6월 20일</t>
  </si>
  <si>
    <t>6월 22일</t>
  </si>
  <si>
    <t>7월 31일</t>
  </si>
  <si>
    <t>8월 1일</t>
  </si>
  <si>
    <t>7월 21일</t>
  </si>
  <si>
    <t>8월 2일</t>
  </si>
  <si>
    <t>7월 17일</t>
  </si>
  <si>
    <t>7월 19일</t>
  </si>
  <si>
    <t>7월 24일</t>
  </si>
  <si>
    <t>7월 26일</t>
  </si>
  <si>
    <t>7월 27일</t>
  </si>
  <si>
    <t>7월 20일</t>
  </si>
  <si>
    <t>7월 18일</t>
  </si>
  <si>
    <t>7월 25일</t>
  </si>
  <si>
    <t>7월 28일</t>
  </si>
  <si>
    <t>8월 3일</t>
  </si>
  <si>
    <t>8월 4일</t>
  </si>
  <si>
    <t>8월 7일</t>
  </si>
  <si>
    <t>8월 21일</t>
  </si>
  <si>
    <t>8월 15일</t>
  </si>
  <si>
    <t>8월 10일</t>
  </si>
  <si>
    <t>8월 11일</t>
  </si>
  <si>
    <t>8월 9일</t>
  </si>
  <si>
    <t>8월 8일</t>
  </si>
  <si>
    <t>8월 17일</t>
  </si>
  <si>
    <t>8월 18일</t>
  </si>
  <si>
    <t>8월 14일</t>
  </si>
  <si>
    <t>8월 16일</t>
  </si>
  <si>
    <t>4월 20일</t>
  </si>
  <si>
    <t>4월 21일</t>
  </si>
  <si>
    <t>4월 24일</t>
  </si>
  <si>
    <t>4월 28일</t>
  </si>
  <si>
    <t>8월 22일</t>
  </si>
  <si>
    <t>어린이날</t>
  </si>
  <si>
    <t>5월 1일</t>
  </si>
  <si>
    <t>5월 8일</t>
  </si>
  <si>
    <t>5월 3일</t>
  </si>
  <si>
    <t xml:space="preserve">5월 4일 </t>
  </si>
  <si>
    <t>4월 26일</t>
  </si>
  <si>
    <t>4월 27일</t>
  </si>
  <si>
    <t>5월 2일</t>
  </si>
  <si>
    <t>4월 25일</t>
  </si>
  <si>
    <t>5월 5일</t>
  </si>
  <si>
    <t>5월 17일</t>
  </si>
  <si>
    <t>5월 15일</t>
  </si>
  <si>
    <t>8월 29일</t>
  </si>
  <si>
    <t>8월 30일</t>
  </si>
  <si>
    <t>5월 16일</t>
  </si>
  <si>
    <t>8월 31일</t>
  </si>
  <si>
    <t>8월 24일</t>
  </si>
  <si>
    <t>8월 28일</t>
  </si>
  <si>
    <t>5월 18일</t>
  </si>
  <si>
    <t>5월 23일</t>
  </si>
  <si>
    <t>5월 10일</t>
  </si>
  <si>
    <t>5월 25일</t>
  </si>
  <si>
    <t>5월 31일</t>
  </si>
  <si>
    <t>5월 12일</t>
  </si>
  <si>
    <t>6월 1일</t>
  </si>
  <si>
    <t>5월 11일</t>
  </si>
  <si>
    <t>5월 24일</t>
  </si>
  <si>
    <t>5월 29일</t>
  </si>
  <si>
    <t>6월 5일</t>
  </si>
  <si>
    <t>6월 6일</t>
  </si>
  <si>
    <t>6월 2일</t>
  </si>
  <si>
    <t>6월 7일</t>
  </si>
  <si>
    <t>8월 25일</t>
  </si>
  <si>
    <t>5월 19일</t>
  </si>
  <si>
    <t>5월 9일</t>
  </si>
  <si>
    <t>5월 26일</t>
  </si>
  <si>
    <t>5월 22일</t>
  </si>
  <si>
    <t>5월 30일</t>
  </si>
  <si>
    <t>8월 23일</t>
  </si>
  <si>
    <t>9월 4일</t>
  </si>
  <si>
    <t>9월 5일</t>
  </si>
  <si>
    <t>9월 13일</t>
  </si>
  <si>
    <t>9월 14일</t>
  </si>
  <si>
    <t>9월 15일</t>
  </si>
  <si>
    <t>9월 1일</t>
  </si>
  <si>
    <t>9월 6일</t>
  </si>
  <si>
    <t>9월 20일</t>
  </si>
  <si>
    <t>9월 12일</t>
  </si>
  <si>
    <t>9월 18일</t>
  </si>
  <si>
    <t>9월 21일</t>
  </si>
  <si>
    <t>9월 7일</t>
  </si>
  <si>
    <t>9월 11일</t>
  </si>
  <si>
    <t>9월 8일</t>
  </si>
  <si>
    <t>9월 22일</t>
  </si>
  <si>
    <t>4월 7일</t>
  </si>
  <si>
    <t>종료시간</t>
  </si>
  <si>
    <t>배치시간</t>
  </si>
  <si>
    <t>14주차</t>
  </si>
  <si>
    <t>13주차</t>
  </si>
  <si>
    <t>19주차</t>
  </si>
  <si>
    <t>18주차</t>
  </si>
  <si>
    <t>4월 6일</t>
  </si>
  <si>
    <t>4월 10일</t>
  </si>
  <si>
    <t>9월 19일</t>
  </si>
  <si>
    <t>11주차</t>
  </si>
  <si>
    <t>12주차</t>
  </si>
  <si>
    <t>강의시간</t>
  </si>
  <si>
    <t>16주차</t>
  </si>
  <si>
    <t>22주차</t>
  </si>
  <si>
    <t>시작시간</t>
  </si>
  <si>
    <t>23주차</t>
  </si>
  <si>
    <t>강의배치</t>
  </si>
  <si>
    <t>20주차</t>
  </si>
  <si>
    <t>10주차</t>
  </si>
  <si>
    <t>17주차</t>
  </si>
  <si>
    <t>24주차</t>
  </si>
  <si>
    <t>25주차</t>
  </si>
  <si>
    <t>15주차</t>
  </si>
  <si>
    <t>21주차</t>
  </si>
  <si>
    <t>자바프로그래밍</t>
  </si>
  <si>
    <t>4월 5일</t>
  </si>
  <si>
    <t>React</t>
  </si>
  <si>
    <t>4월 3일</t>
  </si>
  <si>
    <t>4월 4일</t>
  </si>
  <si>
    <t>4월 14일</t>
  </si>
  <si>
    <t>4월 18일</t>
  </si>
  <si>
    <t>4월 19일</t>
  </si>
  <si>
    <t>4월 11일</t>
  </si>
  <si>
    <t>4월 12일</t>
  </si>
  <si>
    <t>4월 17일</t>
  </si>
  <si>
    <t>4월 13일</t>
  </si>
  <si>
    <t>AI 활용 빅데이터분석 풀스택웹서비스 SW 개발자 양성과정 (3회차)</t>
  </si>
  <si>
    <t>홍봉희(47) / 이상현(40) / 김경민(32) / 김태연(32)</t>
  </si>
  <si>
    <t>기간 : 2023. 04. 03 ~ 2023. 09. 22</t>
  </si>
  <si>
    <t>석가탄신일 대체공휴일</t>
  </si>
  <si>
    <t>텐서플로 딥러닝</t>
  </si>
  <si>
    <t>AI 프로그래밍</t>
  </si>
  <si>
    <t>UI/UX Figma</t>
  </si>
  <si>
    <t>빅데이터 R 분석</t>
  </si>
  <si>
    <t>15:10-16:00</t>
  </si>
  <si>
    <t>16:10-17:00</t>
  </si>
  <si>
    <t>자료구조프로그래밍</t>
  </si>
  <si>
    <t>12:20-13:10</t>
  </si>
  <si>
    <t>09:20-10:10</t>
  </si>
  <si>
    <t>14:10-15:00</t>
  </si>
  <si>
    <t>10:20-11:10</t>
  </si>
  <si>
    <t>11:20-12:10</t>
  </si>
  <si>
    <t>17:10-18:00</t>
  </si>
  <si>
    <t>Spring Boot</t>
  </si>
  <si>
    <t>홍봉희(24) / 이상현(26)</t>
  </si>
  <si>
    <t>홍봉희(33) / 한상곤(32)</t>
  </si>
  <si>
    <t>감진규(28) / 박진선(32)</t>
  </si>
  <si>
    <t>배정시간</t>
  </si>
  <si>
    <t>취업활동지원</t>
  </si>
  <si>
    <t>담당교강사</t>
  </si>
  <si>
    <t>빅데이터분석 웹서비스 개발 프로젝트</t>
  </si>
  <si>
    <t>이상현</t>
  </si>
  <si>
    <t>홍봉희</t>
  </si>
  <si>
    <t>이름</t>
  </si>
  <si>
    <t>금</t>
  </si>
  <si>
    <t>입학식</t>
  </si>
  <si>
    <t>화</t>
  </si>
  <si>
    <t>계</t>
  </si>
  <si>
    <t>과목명</t>
  </si>
  <si>
    <t>수료식</t>
  </si>
  <si>
    <t>김지연</t>
  </si>
  <si>
    <t>이태훈</t>
  </si>
  <si>
    <t>김경민</t>
  </si>
  <si>
    <t>월</t>
  </si>
  <si>
    <t>목</t>
  </si>
  <si>
    <t>교시</t>
  </si>
  <si>
    <t>수</t>
  </si>
  <si>
    <t>박진선</t>
  </si>
  <si>
    <t>훈련</t>
  </si>
  <si>
    <t>감진규</t>
  </si>
  <si>
    <t>점심</t>
  </si>
  <si>
    <t>김태연</t>
  </si>
  <si>
    <t>4주차</t>
  </si>
  <si>
    <t>5주차</t>
  </si>
  <si>
    <t>송길태</t>
  </si>
  <si>
    <t>8주차</t>
  </si>
  <si>
    <t>2주차</t>
  </si>
  <si>
    <t>1주차</t>
  </si>
  <si>
    <t>7주차</t>
  </si>
  <si>
    <t>김명희</t>
  </si>
  <si>
    <t>광복절</t>
  </si>
  <si>
    <t>9주차</t>
  </si>
  <si>
    <t>6주차</t>
  </si>
  <si>
    <t>구분</t>
  </si>
  <si>
    <t>3주차</t>
  </si>
  <si>
    <t>오차</t>
  </si>
  <si>
    <t>한상곤</t>
  </si>
  <si>
    <t>현충일</t>
  </si>
  <si>
    <t>DB SQL 프로그래밍</t>
  </si>
  <si>
    <t>HTML,CSS,자바스크립트</t>
  </si>
  <si>
    <t>Python 데이터 처리분석</t>
  </si>
  <si>
    <t>Servlet &amp; JSP</t>
  </si>
  <si>
    <t>홍봉희(26) / 송길태(20) / 김태연(24)</t>
  </si>
  <si>
    <t>홍봉희</t>
    <phoneticPr fontId="12" type="noConversion"/>
  </si>
  <si>
    <r>
      <t>홍봉희(54) / 이상현(40) / 김경민(32) /</t>
    </r>
    <r>
      <rPr>
        <b/>
        <sz val="10"/>
        <color rgb="FF000000"/>
        <rFont val="맑은 고딕"/>
        <family val="3"/>
        <charset val="129"/>
      </rPr>
      <t xml:space="preserve"> </t>
    </r>
    <r>
      <rPr>
        <sz val="10"/>
        <color rgb="FF000000"/>
        <rFont val="맑은 고딕"/>
        <family val="3"/>
        <charset val="129"/>
      </rPr>
      <t>한상곤(24)</t>
    </r>
    <phoneticPr fontId="12" type="noConversion"/>
  </si>
  <si>
    <t>근로자의날</t>
    <phoneticPr fontId="12" type="noConversion"/>
  </si>
  <si>
    <t>부산대학교개교기념일</t>
    <phoneticPr fontId="12" type="noConversion"/>
  </si>
  <si>
    <t>김경민</t>
    <phoneticPr fontId="12" type="noConversion"/>
  </si>
  <si>
    <t>React</t>
    <phoneticPr fontId="12" type="noConversion"/>
  </si>
  <si>
    <t>취업활동지원</t>
    <phoneticPr fontId="12" type="noConversion"/>
  </si>
  <si>
    <t>자료구조프로그래밍</t>
    <phoneticPr fontId="12" type="noConversion"/>
  </si>
  <si>
    <t>빅데이터 R 분석</t>
    <phoneticPr fontId="12" type="noConversion"/>
  </si>
  <si>
    <t>홍봉희(2) / 이상현(2) / 김경민(2)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</si>
</sst>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1" formatCode="_-* #,##0_-;\-* #,##0_-;_-* &quot;-&quot;_-;_-@_-"/>
    <numFmt numFmtId="176" formatCode="0_);[Red]\(0\)"/>
  </numFmts>
  <fonts count="13" x14ac:knownFonts="1">
    <font>
      <sz val="11"/>
      <color rgb="FF000000"/>
      <name val="돋움"/>
    </font>
    <font>
      <sz val="9"/>
      <color rgb="FF000000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sz val="10"/>
      <color rgb="FF000000"/>
      <name val="돋움"/>
      <family val="3"/>
      <charset val="129"/>
    </font>
    <font>
      <sz val="10"/>
      <color rgb="FFFFFF00"/>
      <name val="맑은 고딕"/>
      <family val="3"/>
      <charset val="129"/>
    </font>
    <font>
      <b/>
      <sz val="24"/>
      <color rgb="FF000000"/>
      <name val="맑은 고딕"/>
      <family val="3"/>
      <charset val="129"/>
    </font>
    <font>
      <sz val="24"/>
      <color rgb="FF000000"/>
      <name val="맑은 고딕"/>
      <family val="3"/>
      <charset val="129"/>
    </font>
    <font>
      <sz val="11"/>
      <color rgb="FF000000"/>
      <name val="돋움"/>
      <family val="3"/>
      <charset val="129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sz val="8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EBF1DE"/>
      </patternFill>
    </fill>
    <fill>
      <patternFill patternType="solid">
        <fgColor rgb="FFD9D9D9"/>
      </patternFill>
    </fill>
    <fill>
      <patternFill patternType="solid">
        <fgColor rgb="FF92D050"/>
      </patternFill>
    </fill>
    <fill>
      <patternFill patternType="solid">
        <fgColor rgb="FFBFBFBF"/>
      </patternFill>
    </fill>
    <fill>
      <patternFill patternType="solid">
        <fgColor rgb="FFFFFF00"/>
      </patternFill>
    </fill>
    <fill>
      <patternFill patternType="solid">
        <fgColor rgb="FFF3DCDB"/>
      </patternFill>
    </fill>
    <fill>
      <patternFill patternType="solid">
        <fgColor rgb="FFFDEADB"/>
      </patternFill>
    </fill>
    <fill>
      <patternFill patternType="solid">
        <fgColor rgb="FF948A5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/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/>
      <bottom style="medium">
        <color indexed="64"/>
      </bottom>
      <diagonal/>
    </border>
    <border diagonalUp="1" diagonalDown="1">
      <left/>
      <right style="thin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9" fillId="0" borderId="0">
      <alignment vertical="center"/>
    </xf>
  </cellStyleXfs>
  <cellXfs count="121">
    <xf numFmtId="0" fontId="0" fillId="0" borderId="0" xfId="0" applyNumberFormat="1">
      <alignment vertical="center"/>
    </xf>
    <xf numFmtId="0" fontId="1" fillId="2" borderId="0" xfId="0" applyNumberFormat="1" applyFont="1" applyFill="1">
      <alignment vertical="center"/>
    </xf>
    <xf numFmtId="0" fontId="1" fillId="0" borderId="0" xfId="0" applyNumberFormat="1" applyFont="1" applyProtection="1">
      <alignment vertical="center"/>
      <protection locked="0"/>
    </xf>
    <xf numFmtId="0" fontId="1" fillId="0" borderId="0" xfId="0" applyNumberFormat="1" applyFont="1">
      <alignment vertical="center"/>
    </xf>
    <xf numFmtId="0" fontId="2" fillId="0" borderId="0" xfId="0" applyNumberFormat="1" applyFont="1">
      <alignment vertical="center"/>
    </xf>
    <xf numFmtId="0" fontId="3" fillId="6" borderId="2" xfId="0" applyNumberFormat="1" applyFont="1" applyFill="1" applyBorder="1" applyAlignment="1">
      <alignment horizontal="center" vertical="center"/>
    </xf>
    <xf numFmtId="41" fontId="3" fillId="6" borderId="3" xfId="1" applyNumberFormat="1" applyFont="1" applyFill="1" applyBorder="1" applyAlignment="1">
      <alignment horizontal="center" vertical="center"/>
    </xf>
    <xf numFmtId="41" fontId="3" fillId="6" borderId="4" xfId="1" applyNumberFormat="1" applyFont="1" applyFill="1" applyBorder="1" applyAlignment="1">
      <alignment horizontal="center" vertical="center"/>
    </xf>
    <xf numFmtId="0" fontId="4" fillId="2" borderId="5" xfId="0" applyNumberFormat="1" applyFont="1" applyFill="1" applyBorder="1" applyAlignment="1">
      <alignment horizontal="center" vertical="center"/>
    </xf>
    <xf numFmtId="41" fontId="4" fillId="9" borderId="1" xfId="1" applyNumberFormat="1" applyFont="1" applyFill="1" applyBorder="1" applyAlignment="1">
      <alignment horizontal="center" vertical="center"/>
    </xf>
    <xf numFmtId="0" fontId="4" fillId="0" borderId="1" xfId="0" applyNumberFormat="1" applyFont="1" applyBorder="1">
      <alignment vertical="center"/>
    </xf>
    <xf numFmtId="41" fontId="4" fillId="0" borderId="6" xfId="0" applyNumberFormat="1" applyFont="1" applyBorder="1">
      <alignment vertical="center"/>
    </xf>
    <xf numFmtId="0" fontId="4" fillId="2" borderId="0" xfId="0" applyNumberFormat="1" applyFont="1" applyFill="1">
      <alignment vertical="center"/>
    </xf>
    <xf numFmtId="0" fontId="4" fillId="2" borderId="1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41" fontId="4" fillId="2" borderId="1" xfId="1" applyNumberFormat="1" applyFont="1" applyFill="1" applyBorder="1" applyAlignment="1">
      <alignment horizontal="center" vertical="center"/>
    </xf>
    <xf numFmtId="0" fontId="4" fillId="0" borderId="7" xfId="0" applyNumberFormat="1" applyFont="1" applyBorder="1" applyAlignment="1">
      <alignment horizontal="center" vertical="center"/>
    </xf>
    <xf numFmtId="41" fontId="4" fillId="0" borderId="8" xfId="1" applyNumberFormat="1" applyFont="1" applyBorder="1" applyAlignment="1">
      <alignment horizontal="center" vertical="center"/>
    </xf>
    <xf numFmtId="0" fontId="4" fillId="0" borderId="8" xfId="0" applyNumberFormat="1" applyFont="1" applyBorder="1">
      <alignment vertical="center"/>
    </xf>
    <xf numFmtId="0" fontId="4" fillId="0" borderId="9" xfId="0" applyNumberFormat="1" applyFont="1" applyBorder="1">
      <alignment vertical="center"/>
    </xf>
    <xf numFmtId="0" fontId="3" fillId="4" borderId="2" xfId="0" applyNumberFormat="1" applyFont="1" applyFill="1" applyBorder="1" applyAlignment="1">
      <alignment horizontal="center" vertical="center"/>
    </xf>
    <xf numFmtId="0" fontId="3" fillId="4" borderId="4" xfId="0" applyNumberFormat="1" applyFont="1" applyFill="1" applyBorder="1" applyAlignment="1">
      <alignment horizontal="center" vertical="center"/>
    </xf>
    <xf numFmtId="0" fontId="3" fillId="4" borderId="3" xfId="0" applyNumberFormat="1" applyFont="1" applyFill="1" applyBorder="1" applyAlignment="1">
      <alignment horizontal="center" vertical="center" wrapText="1"/>
    </xf>
    <xf numFmtId="0" fontId="3" fillId="4" borderId="4" xfId="0" applyNumberFormat="1" applyFont="1" applyFill="1" applyBorder="1" applyAlignment="1">
      <alignment horizontal="center" vertical="center" wrapText="1"/>
    </xf>
    <xf numFmtId="0" fontId="4" fillId="0" borderId="6" xfId="0" applyNumberFormat="1" applyFont="1" applyBorder="1">
      <alignment vertical="center"/>
    </xf>
    <xf numFmtId="0" fontId="4" fillId="2" borderId="1" xfId="0" applyNumberFormat="1" applyFont="1" applyFill="1" applyBorder="1" applyAlignment="1">
      <alignment horizontal="center" vertical="center" wrapText="1"/>
    </xf>
    <xf numFmtId="20" fontId="4" fillId="2" borderId="1" xfId="0" applyNumberFormat="1" applyFont="1" applyFill="1" applyBorder="1" applyAlignment="1">
      <alignment horizontal="center" vertical="center" wrapText="1"/>
    </xf>
    <xf numFmtId="20" fontId="4" fillId="2" borderId="6" xfId="0" applyNumberFormat="1" applyFont="1" applyFill="1" applyBorder="1" applyAlignment="1">
      <alignment horizontal="center" vertical="center" wrapText="1"/>
    </xf>
    <xf numFmtId="0" fontId="4" fillId="2" borderId="8" xfId="0" applyNumberFormat="1" applyFont="1" applyFill="1" applyBorder="1" applyAlignment="1">
      <alignment horizontal="center" vertical="center" wrapText="1"/>
    </xf>
    <xf numFmtId="20" fontId="4" fillId="2" borderId="8" xfId="0" applyNumberFormat="1" applyFont="1" applyFill="1" applyBorder="1" applyAlignment="1">
      <alignment horizontal="center" vertical="center" wrapText="1"/>
    </xf>
    <xf numFmtId="20" fontId="4" fillId="2" borderId="9" xfId="0" applyNumberFormat="1" applyFont="1" applyFill="1" applyBorder="1" applyAlignment="1">
      <alignment horizontal="center" vertical="center" wrapText="1"/>
    </xf>
    <xf numFmtId="0" fontId="4" fillId="0" borderId="0" xfId="0" applyNumberFormat="1" applyFont="1" applyAlignment="1">
      <alignment vertical="center"/>
    </xf>
    <xf numFmtId="0" fontId="5" fillId="0" borderId="0" xfId="0" applyNumberFormat="1" applyFont="1" applyProtection="1">
      <alignment vertical="center"/>
      <protection locked="0"/>
    </xf>
    <xf numFmtId="0" fontId="5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4" fillId="0" borderId="0" xfId="0" applyNumberFormat="1" applyFont="1" applyBorder="1" applyAlignment="1">
      <alignment horizontal="center" vertical="center"/>
    </xf>
    <xf numFmtId="0" fontId="4" fillId="0" borderId="10" xfId="0" applyNumberFormat="1" applyFont="1" applyFill="1" applyBorder="1" applyAlignment="1">
      <alignment horizontal="center" vertical="center"/>
    </xf>
    <xf numFmtId="0" fontId="4" fillId="0" borderId="11" xfId="0" applyNumberFormat="1" applyFont="1" applyBorder="1">
      <alignment vertical="center"/>
    </xf>
    <xf numFmtId="0" fontId="3" fillId="4" borderId="12" xfId="0" applyNumberFormat="1" applyFont="1" applyFill="1" applyBorder="1" applyAlignment="1">
      <alignment horizontal="center" vertical="center" wrapText="1"/>
    </xf>
    <xf numFmtId="0" fontId="4" fillId="2" borderId="13" xfId="0" applyNumberFormat="1" applyFont="1" applyFill="1" applyBorder="1" applyAlignment="1">
      <alignment horizontal="center" vertical="center" wrapText="1"/>
    </xf>
    <xf numFmtId="0" fontId="4" fillId="2" borderId="14" xfId="0" applyNumberFormat="1" applyFont="1" applyFill="1" applyBorder="1" applyAlignment="1">
      <alignment horizontal="center" vertical="center" wrapText="1"/>
    </xf>
    <xf numFmtId="0" fontId="4" fillId="0" borderId="1" xfId="0" applyNumberFormat="1" applyFont="1" applyFill="1" applyBorder="1">
      <alignment vertical="center"/>
    </xf>
    <xf numFmtId="0" fontId="4" fillId="0" borderId="0" xfId="0" applyNumberFormat="1" applyFont="1">
      <alignment vertical="center"/>
    </xf>
    <xf numFmtId="0" fontId="4" fillId="0" borderId="1" xfId="0" applyNumberFormat="1" applyFont="1" applyFill="1" applyBorder="1">
      <alignment vertical="center"/>
    </xf>
    <xf numFmtId="0" fontId="4" fillId="5" borderId="1" xfId="0" applyNumberFormat="1" applyFont="1" applyFill="1" applyBorder="1">
      <alignment vertical="center"/>
    </xf>
    <xf numFmtId="0" fontId="4" fillId="0" borderId="0" xfId="0" applyNumberFormat="1" applyFont="1" applyBorder="1">
      <alignment vertical="center"/>
    </xf>
    <xf numFmtId="0" fontId="6" fillId="0" borderId="0" xfId="0" applyNumberFormat="1" applyFont="1" applyFill="1">
      <alignment vertical="center"/>
    </xf>
    <xf numFmtId="0" fontId="4" fillId="0" borderId="0" xfId="0" applyNumberFormat="1" applyFont="1" applyFill="1" applyBorder="1">
      <alignment vertical="center"/>
    </xf>
    <xf numFmtId="0" fontId="4" fillId="0" borderId="0" xfId="0" applyNumberFormat="1" applyFont="1" applyFill="1" applyBorder="1">
      <alignment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Fill="1">
      <alignment vertical="center"/>
    </xf>
    <xf numFmtId="0" fontId="4" fillId="0" borderId="0" xfId="0" applyNumberFormat="1" applyFont="1" applyFill="1" applyBorder="1">
      <alignment vertical="center"/>
    </xf>
    <xf numFmtId="0" fontId="4" fillId="11" borderId="5" xfId="0" applyNumberFormat="1" applyFont="1" applyFill="1" applyBorder="1" applyAlignment="1">
      <alignment horizontal="center" vertical="center"/>
    </xf>
    <xf numFmtId="0" fontId="4" fillId="11" borderId="1" xfId="0" applyNumberFormat="1" applyFont="1" applyFill="1" applyBorder="1">
      <alignment vertical="center"/>
    </xf>
    <xf numFmtId="0" fontId="10" fillId="4" borderId="16" xfId="0" applyNumberFormat="1" applyFont="1" applyFill="1" applyBorder="1" applyAlignment="1" applyProtection="1">
      <alignment horizontal="center" vertical="center"/>
      <protection locked="0"/>
    </xf>
    <xf numFmtId="0" fontId="10" fillId="5" borderId="16" xfId="0" applyNumberFormat="1" applyFont="1" applyFill="1" applyBorder="1" applyAlignment="1" applyProtection="1">
      <alignment horizontal="center" vertical="center" wrapText="1"/>
      <protection locked="0"/>
    </xf>
    <xf numFmtId="176" fontId="10" fillId="5" borderId="16" xfId="0" applyNumberFormat="1" applyFont="1" applyFill="1" applyBorder="1" applyAlignment="1" applyProtection="1">
      <alignment horizontal="center" vertical="center" wrapText="1"/>
      <protection locked="0"/>
    </xf>
    <xf numFmtId="0" fontId="11" fillId="7" borderId="16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16" xfId="0" applyNumberFormat="1" applyFont="1" applyFill="1" applyBorder="1" applyAlignment="1" applyProtection="1">
      <alignment horizontal="center" vertical="center" wrapText="1"/>
      <protection locked="0"/>
    </xf>
    <xf numFmtId="0" fontId="11" fillId="8" borderId="16" xfId="0" applyNumberFormat="1" applyFont="1" applyFill="1" applyBorder="1" applyAlignment="1" applyProtection="1">
      <alignment horizontal="center" vertical="center" wrapText="1"/>
      <protection locked="0"/>
    </xf>
    <xf numFmtId="0" fontId="11" fillId="10" borderId="16" xfId="0" applyNumberFormat="1" applyFont="1" applyFill="1" applyBorder="1" applyAlignment="1" applyProtection="1">
      <alignment horizontal="center" vertical="center" wrapText="1"/>
      <protection locked="0"/>
    </xf>
    <xf numFmtId="0" fontId="11" fillId="7" borderId="16" xfId="0" applyNumberFormat="1" applyFont="1" applyFill="1" applyBorder="1" applyAlignment="1" applyProtection="1">
      <alignment horizontal="center" vertical="center"/>
      <protection locked="0"/>
    </xf>
    <xf numFmtId="0" fontId="4" fillId="11" borderId="16" xfId="0" applyNumberFormat="1" applyFont="1" applyFill="1" applyBorder="1" applyAlignment="1" applyProtection="1">
      <alignment horizontal="center" vertical="center" wrapText="1"/>
      <protection locked="0"/>
    </xf>
    <xf numFmtId="0" fontId="4" fillId="11" borderId="16" xfId="0" applyNumberFormat="1" applyFont="1" applyFill="1" applyBorder="1" applyAlignment="1" applyProtection="1">
      <alignment horizontal="center" vertical="center"/>
      <protection locked="0"/>
    </xf>
    <xf numFmtId="0" fontId="11" fillId="8" borderId="17" xfId="0" applyNumberFormat="1" applyFont="1" applyFill="1" applyBorder="1" applyAlignment="1" applyProtection="1">
      <alignment horizontal="center" vertical="center" wrapText="1"/>
      <protection locked="0"/>
    </xf>
    <xf numFmtId="0" fontId="10" fillId="4" borderId="20" xfId="0" applyNumberFormat="1" applyFont="1" applyFill="1" applyBorder="1" applyAlignment="1" applyProtection="1">
      <alignment horizontal="center" vertical="center"/>
      <protection locked="0"/>
    </xf>
    <xf numFmtId="0" fontId="11" fillId="2" borderId="17" xfId="0" applyNumberFormat="1" applyFont="1" applyFill="1" applyBorder="1" applyAlignment="1" applyProtection="1">
      <alignment horizontal="center" vertical="center" wrapText="1"/>
      <protection locked="0"/>
    </xf>
    <xf numFmtId="0" fontId="4" fillId="11" borderId="17" xfId="0" applyNumberFormat="1" applyFont="1" applyFill="1" applyBorder="1" applyAlignment="1" applyProtection="1">
      <alignment horizontal="center" vertical="center" wrapText="1"/>
      <protection locked="0"/>
    </xf>
    <xf numFmtId="176" fontId="10" fillId="5" borderId="19" xfId="0" applyNumberFormat="1" applyFont="1" applyFill="1" applyBorder="1" applyAlignment="1" applyProtection="1">
      <alignment horizontal="center" vertical="center" wrapText="1"/>
      <protection locked="0"/>
    </xf>
    <xf numFmtId="0" fontId="4" fillId="11" borderId="18" xfId="0" applyNumberFormat="1" applyFont="1" applyFill="1" applyBorder="1" applyAlignment="1" applyProtection="1">
      <alignment horizontal="center" vertical="center" wrapText="1"/>
      <protection locked="0"/>
    </xf>
    <xf numFmtId="0" fontId="11" fillId="7" borderId="18" xfId="0" applyNumberFormat="1" applyFont="1" applyFill="1" applyBorder="1" applyAlignment="1" applyProtection="1">
      <alignment horizontal="center" vertical="center" wrapText="1"/>
      <protection locked="0"/>
    </xf>
    <xf numFmtId="0" fontId="10" fillId="5" borderId="19" xfId="0" applyNumberFormat="1" applyFont="1" applyFill="1" applyBorder="1" applyAlignment="1" applyProtection="1">
      <alignment horizontal="center" vertical="center" wrapText="1"/>
      <protection locked="0"/>
    </xf>
    <xf numFmtId="0" fontId="11" fillId="3" borderId="20" xfId="0" applyNumberFormat="1" applyFont="1" applyFill="1" applyBorder="1" applyAlignment="1">
      <alignment horizontal="center" vertical="center" wrapText="1"/>
    </xf>
    <xf numFmtId="0" fontId="11" fillId="2" borderId="18" xfId="0" applyNumberFormat="1" applyFont="1" applyFill="1" applyBorder="1" applyAlignment="1" applyProtection="1">
      <alignment horizontal="center" vertical="center" wrapText="1"/>
      <protection locked="0"/>
    </xf>
    <xf numFmtId="0" fontId="11" fillId="0" borderId="18" xfId="0" applyNumberFormat="1" applyFont="1" applyFill="1" applyBorder="1" applyAlignment="1" applyProtection="1">
      <alignment horizontal="center" vertical="center" wrapText="1"/>
      <protection locked="0"/>
    </xf>
    <xf numFmtId="0" fontId="10" fillId="3" borderId="19" xfId="0" applyNumberFormat="1" applyFont="1" applyFill="1" applyBorder="1" applyAlignment="1">
      <alignment horizontal="center" vertical="center" wrapText="1"/>
    </xf>
    <xf numFmtId="0" fontId="10" fillId="4" borderId="18" xfId="0" applyNumberFormat="1" applyFont="1" applyFill="1" applyBorder="1" applyAlignment="1" applyProtection="1">
      <alignment horizontal="center" vertical="center"/>
      <protection locked="0"/>
    </xf>
    <xf numFmtId="176" fontId="10" fillId="5" borderId="1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10" fillId="4" borderId="17" xfId="0" applyNumberFormat="1" applyFont="1" applyFill="1" applyBorder="1" applyAlignment="1" applyProtection="1">
      <alignment horizontal="center" vertical="center"/>
      <protection locked="0"/>
    </xf>
    <xf numFmtId="0" fontId="10" fillId="5" borderId="17" xfId="0" applyNumberFormat="1" applyFont="1" applyFill="1" applyBorder="1" applyAlignment="1" applyProtection="1">
      <alignment horizontal="center" vertical="center" wrapText="1"/>
      <protection locked="0"/>
    </xf>
    <xf numFmtId="0" fontId="10" fillId="3" borderId="22" xfId="0" applyNumberFormat="1" applyFont="1" applyFill="1" applyBorder="1" applyAlignment="1">
      <alignment horizontal="center" vertical="center" wrapText="1"/>
    </xf>
    <xf numFmtId="0" fontId="11" fillId="3" borderId="23" xfId="0" applyNumberFormat="1" applyFont="1" applyFill="1" applyBorder="1" applyAlignment="1">
      <alignment horizontal="center" vertical="center" wrapText="1"/>
    </xf>
    <xf numFmtId="0" fontId="11" fillId="2" borderId="25" xfId="0" applyNumberFormat="1" applyFont="1" applyFill="1" applyBorder="1" applyAlignment="1" applyProtection="1">
      <alignment horizontal="center" vertical="center" wrapText="1"/>
      <protection locked="0"/>
    </xf>
    <xf numFmtId="0" fontId="4" fillId="11" borderId="25" xfId="0" applyNumberFormat="1" applyFont="1" applyFill="1" applyBorder="1" applyAlignment="1" applyProtection="1">
      <alignment horizontal="center" vertical="center" wrapText="1"/>
      <protection locked="0"/>
    </xf>
    <xf numFmtId="0" fontId="4" fillId="11" borderId="26" xfId="0" applyNumberFormat="1" applyFont="1" applyFill="1" applyBorder="1" applyAlignment="1" applyProtection="1">
      <alignment horizontal="center" vertical="center" wrapText="1"/>
      <protection locked="0"/>
    </xf>
    <xf numFmtId="0" fontId="4" fillId="11" borderId="19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24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25" xfId="0" applyNumberFormat="1" applyFont="1" applyFill="1" applyBorder="1" applyAlignment="1" applyProtection="1">
      <alignment horizontal="center" vertical="center" wrapText="1"/>
      <protection locked="0"/>
    </xf>
    <xf numFmtId="176" fontId="10" fillId="5" borderId="17" xfId="0" applyNumberFormat="1" applyFont="1" applyFill="1" applyBorder="1" applyAlignment="1" applyProtection="1">
      <alignment horizontal="center" vertical="center" wrapText="1"/>
      <protection locked="0"/>
    </xf>
    <xf numFmtId="0" fontId="11" fillId="8" borderId="18" xfId="0" applyNumberFormat="1" applyFont="1" applyFill="1" applyBorder="1" applyAlignment="1" applyProtection="1">
      <alignment horizontal="center" vertical="center" wrapText="1"/>
      <protection locked="0"/>
    </xf>
    <xf numFmtId="0" fontId="11" fillId="8" borderId="20" xfId="0" applyNumberFormat="1" applyFont="1" applyFill="1" applyBorder="1" applyAlignment="1" applyProtection="1">
      <alignment horizontal="center" vertical="center" wrapText="1"/>
      <protection locked="0"/>
    </xf>
    <xf numFmtId="0" fontId="11" fillId="8" borderId="25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24" xfId="0" applyNumberFormat="1" applyFont="1" applyFill="1" applyBorder="1" applyAlignment="1" applyProtection="1">
      <alignment horizontal="center" vertical="center" wrapText="1"/>
      <protection locked="0"/>
    </xf>
    <xf numFmtId="0" fontId="11" fillId="8" borderId="24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16" xfId="0" applyNumberFormat="1" applyFont="1" applyFill="1" applyBorder="1">
      <alignment vertical="center"/>
    </xf>
    <xf numFmtId="0" fontId="10" fillId="4" borderId="27" xfId="0" applyNumberFormat="1" applyFont="1" applyFill="1" applyBorder="1" applyAlignment="1" applyProtection="1">
      <alignment horizontal="center" vertical="center"/>
      <protection locked="0"/>
    </xf>
    <xf numFmtId="0" fontId="4" fillId="11" borderId="22" xfId="0" applyNumberFormat="1" applyFont="1" applyFill="1" applyBorder="1" applyAlignment="1" applyProtection="1">
      <alignment horizontal="center" vertical="center" wrapText="1"/>
      <protection locked="0"/>
    </xf>
    <xf numFmtId="0" fontId="10" fillId="4" borderId="24" xfId="0" applyNumberFormat="1" applyFont="1" applyFill="1" applyBorder="1" applyAlignment="1" applyProtection="1">
      <alignment horizontal="center" vertical="center"/>
      <protection locked="0"/>
    </xf>
    <xf numFmtId="176" fontId="10" fillId="5" borderId="25" xfId="0" applyNumberFormat="1" applyFont="1" applyFill="1" applyBorder="1" applyAlignment="1" applyProtection="1">
      <alignment horizontal="center" vertical="center" wrapText="1"/>
      <protection locked="0"/>
    </xf>
    <xf numFmtId="0" fontId="10" fillId="12" borderId="16" xfId="0" applyNumberFormat="1" applyFont="1" applyFill="1" applyBorder="1" applyAlignment="1" applyProtection="1">
      <alignment horizontal="center" vertical="center" wrapText="1"/>
      <protection locked="0"/>
    </xf>
    <xf numFmtId="0" fontId="10" fillId="12" borderId="19" xfId="0" applyNumberFormat="1" applyFont="1" applyFill="1" applyBorder="1" applyAlignment="1" applyProtection="1">
      <alignment horizontal="center" vertical="center" wrapText="1"/>
      <protection locked="0"/>
    </xf>
    <xf numFmtId="0" fontId="10" fillId="12" borderId="17" xfId="0" applyNumberFormat="1" applyFont="1" applyFill="1" applyBorder="1" applyAlignment="1" applyProtection="1">
      <alignment horizontal="center" vertical="center" wrapText="1"/>
      <protection locked="0"/>
    </xf>
    <xf numFmtId="0" fontId="10" fillId="12" borderId="21" xfId="0" applyNumberFormat="1" applyFont="1" applyFill="1" applyBorder="1" applyAlignment="1" applyProtection="1">
      <alignment horizontal="center" vertical="center" wrapText="1"/>
      <protection locked="0"/>
    </xf>
    <xf numFmtId="0" fontId="10" fillId="12" borderId="20" xfId="0" applyNumberFormat="1" applyFont="1" applyFill="1" applyBorder="1" applyAlignment="1" applyProtection="1">
      <alignment horizontal="center" vertical="center" wrapText="1"/>
      <protection locked="0"/>
    </xf>
    <xf numFmtId="0" fontId="4" fillId="2" borderId="1" xfId="0" applyNumberFormat="1" applyFont="1" applyFill="1" applyBorder="1" applyAlignment="1">
      <alignment horizontal="center" vertical="center"/>
    </xf>
    <xf numFmtId="0" fontId="4" fillId="11" borderId="1" xfId="0" applyNumberFormat="1" applyFont="1" applyFill="1" applyBorder="1" applyAlignment="1">
      <alignment horizontal="center" vertical="center"/>
    </xf>
    <xf numFmtId="0" fontId="7" fillId="0" borderId="0" xfId="0" applyNumberFormat="1" applyFont="1" applyAlignment="1" applyProtection="1">
      <alignment horizontal="center" vertical="center"/>
      <protection locked="0"/>
    </xf>
    <xf numFmtId="0" fontId="8" fillId="0" borderId="0" xfId="0" applyNumberFormat="1" applyFont="1" applyAlignment="1" applyProtection="1">
      <alignment horizontal="center" vertical="center"/>
      <protection locked="0"/>
    </xf>
    <xf numFmtId="0" fontId="4" fillId="0" borderId="0" xfId="0" applyNumberFormat="1" applyFont="1" applyAlignment="1" applyProtection="1">
      <alignment horizontal="right" vertical="center"/>
      <protection locked="0"/>
    </xf>
    <xf numFmtId="0" fontId="4" fillId="0" borderId="15" xfId="0" applyNumberFormat="1" applyFont="1" applyBorder="1" applyAlignment="1" applyProtection="1">
      <alignment horizontal="right" vertical="center"/>
      <protection locked="0"/>
    </xf>
    <xf numFmtId="0" fontId="3" fillId="6" borderId="3" xfId="0" applyNumberFormat="1" applyFont="1" applyFill="1" applyBorder="1" applyAlignment="1">
      <alignment horizontal="center" vertical="center"/>
    </xf>
    <xf numFmtId="0" fontId="4" fillId="0" borderId="17" xfId="0" applyNumberFormat="1" applyFont="1" applyFill="1" applyBorder="1" applyAlignment="1">
      <alignment vertical="center"/>
    </xf>
    <xf numFmtId="0" fontId="4" fillId="0" borderId="18" xfId="0" applyNumberFormat="1" applyFont="1" applyFill="1" applyBorder="1" applyAlignment="1">
      <alignment vertical="center"/>
    </xf>
    <xf numFmtId="0" fontId="4" fillId="0" borderId="8" xfId="0" applyNumberFormat="1" applyFont="1" applyBorder="1" applyAlignment="1">
      <alignment horizontal="center" vertical="center"/>
    </xf>
    <xf numFmtId="0" fontId="4" fillId="5" borderId="17" xfId="0" applyNumberFormat="1" applyFont="1" applyFill="1" applyBorder="1" applyAlignment="1">
      <alignment vertical="center"/>
    </xf>
    <xf numFmtId="0" fontId="4" fillId="5" borderId="18" xfId="0" applyNumberFormat="1" applyFont="1" applyFill="1" applyBorder="1" applyAlignment="1">
      <alignment vertical="center"/>
    </xf>
    <xf numFmtId="0" fontId="4" fillId="0" borderId="0" xfId="0" applyNumberFormat="1" applyFont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4" fillId="0" borderId="16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/>
    </xf>
  </cellXfs>
  <cellStyles count="2">
    <cellStyle name="쉼표 [0]" xfId="1" builtinId="6"/>
    <cellStyle name="표준" xfId="0" builtinId="0"/>
  </cellStyles>
  <dxfs count="8050"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ill>
        <patternFill>
          <bgColor rgb="FFF3DCDB"/>
        </patternFill>
      </fill>
    </dxf>
    <dxf>
      <font>
        <color rgb="FF9C0006"/>
      </font>
      <fill>
        <patternFill>
          <bgColor rgb="FFF3DCDB"/>
        </patternFill>
      </fill>
    </dxf>
    <dxf>
      <font>
        <color rgb="FF000000"/>
      </font>
      <fill>
        <patternFill>
          <bgColor rgb="FFF3DCDB"/>
        </patternFill>
      </fill>
    </dxf>
    <dxf>
      <font>
        <b/>
      </font>
      <fill>
        <patternFill>
          <bgColor rgb="FFD7D7D7"/>
        </patternFill>
      </fill>
    </dxf>
    <dxf>
      <fill>
        <patternFill patternType="none">
          <bgColor auto="1"/>
        </patternFill>
      </fill>
    </dxf>
  </dxfs>
  <tableStyles count="1" defaultTableStyle="TableStyleMedium9" defaultPivotStyle="PivotStyleLight16">
    <tableStyle name="MySqlDefault" pivot="0" count="2" xr9:uid="{00000000-0011-0000-FFFF-FFFF00000000}">
      <tableStyleElement type="wholeTable" dxfId="8049"/>
      <tableStyleElement type="headerRow" dxfId="804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pic>
      <xdr:nvPicPr>
        <xdr:cNvPr id="7186" name="Object 18" hidden="1">
          <a:extLst>
            <a:ext uri="{FF2B5EF4-FFF2-40B4-BE49-F238E27FC236}">
              <a16:creationId xmlns:a16="http://schemas.microsoft.com/office/drawing/2014/main" id="{00000000-0008-0000-0000-0000121C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40</xdr:row>
          <xdr:rowOff>200025</xdr:rowOff>
        </xdr:from>
        <xdr:to>
          <xdr:col>7</xdr:col>
          <xdr:colOff>1562100</xdr:colOff>
          <xdr:row>42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[이상현교수님]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36</xdr:row>
          <xdr:rowOff>200025</xdr:rowOff>
        </xdr:from>
        <xdr:to>
          <xdr:col>7</xdr:col>
          <xdr:colOff>1533525</xdr:colOff>
          <xdr:row>38</xdr:row>
          <xdr:rowOff>38100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[홍봉희교수님]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38</xdr:row>
          <xdr:rowOff>200025</xdr:rowOff>
        </xdr:from>
        <xdr:to>
          <xdr:col>7</xdr:col>
          <xdr:colOff>1552575</xdr:colOff>
          <xdr:row>40</xdr:row>
          <xdr:rowOff>38100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[송길태교수님]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2419350</xdr:colOff>
          <xdr:row>37</xdr:row>
          <xdr:rowOff>0</xdr:rowOff>
        </xdr:from>
        <xdr:to>
          <xdr:col>9</xdr:col>
          <xdr:colOff>9525</xdr:colOff>
          <xdr:row>38</xdr:row>
          <xdr:rowOff>47625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[김경민교수님]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2419350</xdr:colOff>
          <xdr:row>38</xdr:row>
          <xdr:rowOff>171450</xdr:rowOff>
        </xdr:from>
        <xdr:to>
          <xdr:col>9</xdr:col>
          <xdr:colOff>0</xdr:colOff>
          <xdr:row>40</xdr:row>
          <xdr:rowOff>9525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[김지연교수님]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2419350</xdr:colOff>
          <xdr:row>40</xdr:row>
          <xdr:rowOff>180975</xdr:rowOff>
        </xdr:from>
        <xdr:to>
          <xdr:col>9</xdr:col>
          <xdr:colOff>9525</xdr:colOff>
          <xdr:row>42</xdr:row>
          <xdr:rowOff>19050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0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[이태훈교수님]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676275</xdr:colOff>
          <xdr:row>36</xdr:row>
          <xdr:rowOff>209550</xdr:rowOff>
        </xdr:from>
        <xdr:to>
          <xdr:col>11</xdr:col>
          <xdr:colOff>0</xdr:colOff>
          <xdr:row>39</xdr:row>
          <xdr:rowOff>9525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48</xdr:row>
          <xdr:rowOff>190500</xdr:rowOff>
        </xdr:from>
        <xdr:to>
          <xdr:col>7</xdr:col>
          <xdr:colOff>1609725</xdr:colOff>
          <xdr:row>50</xdr:row>
          <xdr:rowOff>28575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Count by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2390775</xdr:colOff>
          <xdr:row>42</xdr:row>
          <xdr:rowOff>200025</xdr:rowOff>
        </xdr:from>
        <xdr:to>
          <xdr:col>9</xdr:col>
          <xdr:colOff>9525</xdr:colOff>
          <xdr:row>44</xdr:row>
          <xdr:rowOff>38100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[김태연교수님]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44</xdr:row>
          <xdr:rowOff>200025</xdr:rowOff>
        </xdr:from>
        <xdr:to>
          <xdr:col>7</xdr:col>
          <xdr:colOff>1590675</xdr:colOff>
          <xdr:row>46</xdr:row>
          <xdr:rowOff>9525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0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[박진선교수님]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42</xdr:row>
          <xdr:rowOff>200025</xdr:rowOff>
        </xdr:from>
        <xdr:to>
          <xdr:col>7</xdr:col>
          <xdr:colOff>1581150</xdr:colOff>
          <xdr:row>44</xdr:row>
          <xdr:rowOff>38100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[감진규교수님]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46</xdr:row>
          <xdr:rowOff>190500</xdr:rowOff>
        </xdr:from>
        <xdr:to>
          <xdr:col>7</xdr:col>
          <xdr:colOff>1619250</xdr:colOff>
          <xdr:row>48</xdr:row>
          <xdr:rowOff>9525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0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[김명희교수님]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2409825</xdr:colOff>
          <xdr:row>44</xdr:row>
          <xdr:rowOff>200025</xdr:rowOff>
        </xdr:from>
        <xdr:to>
          <xdr:col>8</xdr:col>
          <xdr:colOff>1381125</xdr:colOff>
          <xdr:row>46</xdr:row>
          <xdr:rowOff>47625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0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[한상곤교수님]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" name="AutoShape 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3" name="AutoShape 18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4" name="AutoShape 18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5" name="AutoShape 18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6" name="AutoShape 1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7" name="AutoShape 1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8" name="AutoShape 1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9" name="AutoShape 1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0" name="AutoShape 1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1" name="AutoShape 18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2" name="AutoShape 18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3" name="AutoShape 18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4" name="AutoShape 18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</a:ln>
        <a:effectLst/>
      </a:spPr>
      <a:bodyPr/>
      <a:lstStyle/>
    </a:spDef>
    <a:lnDef>
      <a:spPr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</a:ln>
        <a:effectLst/>
      </a:spPr>
      <a:bodyPr/>
      <a:lstStyle/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pageSetUpPr fitToPage="1"/>
  </sheetPr>
  <dimension ref="A1:M460"/>
  <sheetViews>
    <sheetView tabSelected="1" topLeftCell="A146" zoomScale="80" zoomScaleNormal="80" zoomScaleSheetLayoutView="75" workbookViewId="0">
      <selection activeCell="A166" sqref="A166:F237"/>
    </sheetView>
  </sheetViews>
  <sheetFormatPr defaultColWidth="8.88671875" defaultRowHeight="13.35" customHeight="1" x14ac:dyDescent="0.15"/>
  <cols>
    <col min="1" max="1" width="10" style="2" bestFit="1" customWidth="1"/>
    <col min="2" max="6" width="28.77734375" style="2" customWidth="1"/>
    <col min="7" max="7" width="2.6640625" style="3" customWidth="1"/>
    <col min="8" max="8" width="30" style="3" bestFit="1" customWidth="1"/>
    <col min="9" max="9" width="16.21875" style="3" customWidth="1"/>
    <col min="10" max="10" width="18.21875" style="3" customWidth="1"/>
    <col min="11" max="13" width="9.77734375" style="3" customWidth="1"/>
    <col min="14" max="14" width="10.77734375" style="3" customWidth="1"/>
    <col min="15" max="16384" width="8.88671875" style="3"/>
  </cols>
  <sheetData>
    <row r="1" spans="1:13" ht="38.25" x14ac:dyDescent="0.15">
      <c r="A1" s="107" t="s">
        <v>152</v>
      </c>
      <c r="B1" s="108"/>
      <c r="C1" s="108"/>
      <c r="D1" s="108"/>
      <c r="E1" s="108"/>
      <c r="F1" s="108"/>
      <c r="G1" s="4"/>
      <c r="H1" s="4"/>
      <c r="I1" s="4"/>
      <c r="J1" s="4"/>
      <c r="K1" s="4"/>
      <c r="L1" s="4"/>
      <c r="M1" s="4"/>
    </row>
    <row r="2" spans="1:13" ht="16.5" customHeight="1" x14ac:dyDescent="0.15">
      <c r="A2" s="109" t="s">
        <v>154</v>
      </c>
      <c r="B2" s="109"/>
      <c r="C2" s="109"/>
      <c r="D2" s="109"/>
      <c r="E2" s="109"/>
      <c r="F2" s="109"/>
      <c r="G2" s="34"/>
      <c r="H2" s="34"/>
      <c r="I2" s="34"/>
      <c r="J2" s="34"/>
      <c r="K2" s="34"/>
      <c r="L2" s="34"/>
      <c r="M2" s="34"/>
    </row>
    <row r="3" spans="1:13" ht="16.5" customHeight="1" x14ac:dyDescent="0.15">
      <c r="A3" s="110" t="s">
        <v>0</v>
      </c>
      <c r="B3" s="110"/>
      <c r="C3" s="110"/>
      <c r="D3" s="110"/>
      <c r="E3" s="110"/>
      <c r="F3" s="110"/>
      <c r="G3" s="34"/>
      <c r="H3" s="34"/>
      <c r="I3" s="34"/>
      <c r="J3" s="34"/>
      <c r="K3" s="34"/>
      <c r="L3" s="34"/>
      <c r="M3" s="34"/>
    </row>
    <row r="4" spans="1:13" ht="16.5" customHeight="1" x14ac:dyDescent="0.15">
      <c r="A4" s="54" t="s">
        <v>203</v>
      </c>
      <c r="B4" s="54" t="s">
        <v>189</v>
      </c>
      <c r="C4" s="54" t="s">
        <v>182</v>
      </c>
      <c r="D4" s="54" t="s">
        <v>192</v>
      </c>
      <c r="E4" s="54" t="s">
        <v>190</v>
      </c>
      <c r="F4" s="54" t="s">
        <v>180</v>
      </c>
      <c r="G4" s="34"/>
      <c r="H4" s="34"/>
      <c r="I4" s="34"/>
      <c r="J4" s="34"/>
      <c r="K4" s="34"/>
      <c r="L4" s="34"/>
      <c r="M4" s="34"/>
    </row>
    <row r="5" spans="1:13" ht="16.5" customHeight="1" x14ac:dyDescent="0.15">
      <c r="A5" s="71" t="s">
        <v>191</v>
      </c>
      <c r="B5" s="56" t="s">
        <v>143</v>
      </c>
      <c r="C5" s="56" t="s">
        <v>144</v>
      </c>
      <c r="D5" s="56" t="s">
        <v>141</v>
      </c>
      <c r="E5" s="56" t="s">
        <v>122</v>
      </c>
      <c r="F5" s="56" t="s">
        <v>115</v>
      </c>
      <c r="G5" s="34"/>
      <c r="H5" s="5" t="s">
        <v>184</v>
      </c>
      <c r="I5" s="111" t="s">
        <v>175</v>
      </c>
      <c r="J5" s="111"/>
      <c r="K5" s="6" t="s">
        <v>173</v>
      </c>
      <c r="L5" s="6" t="s">
        <v>117</v>
      </c>
      <c r="M5" s="7" t="s">
        <v>211</v>
      </c>
    </row>
    <row r="6" spans="1:13" ht="16.5" customHeight="1" x14ac:dyDescent="0.15">
      <c r="A6" s="75">
        <v>1</v>
      </c>
      <c r="B6" s="70" t="s">
        <v>181</v>
      </c>
      <c r="C6" s="58" t="s">
        <v>215</v>
      </c>
      <c r="D6" s="58" t="s">
        <v>215</v>
      </c>
      <c r="E6" s="58" t="s">
        <v>215</v>
      </c>
      <c r="F6" s="58" t="s">
        <v>215</v>
      </c>
      <c r="G6" s="34"/>
      <c r="H6" s="8" t="s">
        <v>181</v>
      </c>
      <c r="I6" s="106" t="s">
        <v>177</v>
      </c>
      <c r="J6" s="105"/>
      <c r="K6" s="9">
        <v>2</v>
      </c>
      <c r="L6" s="10">
        <f>COUNTIF(A4:F453,"입학식")</f>
        <v>2</v>
      </c>
      <c r="M6" s="11">
        <f>K6-L6</f>
        <v>0</v>
      </c>
    </row>
    <row r="7" spans="1:13" ht="16.5" customHeight="1" x14ac:dyDescent="0.15">
      <c r="A7" s="72" t="s">
        <v>164</v>
      </c>
      <c r="B7" s="69" t="s">
        <v>177</v>
      </c>
      <c r="C7" s="62" t="s">
        <v>188</v>
      </c>
      <c r="D7" s="62" t="s">
        <v>188</v>
      </c>
      <c r="E7" s="62" t="s">
        <v>188</v>
      </c>
      <c r="F7" s="62" t="s">
        <v>188</v>
      </c>
      <c r="G7" s="34"/>
      <c r="H7" s="8" t="s">
        <v>215</v>
      </c>
      <c r="I7" s="106" t="s">
        <v>188</v>
      </c>
      <c r="J7" s="105"/>
      <c r="K7" s="9">
        <v>40</v>
      </c>
      <c r="L7" s="10">
        <f>COUNTIF(A4:F453,"HTML,CSS,자바스크립트")</f>
        <v>40</v>
      </c>
      <c r="M7" s="11">
        <f t="shared" ref="M7:M22" si="0">K7-L7</f>
        <v>0</v>
      </c>
    </row>
    <row r="8" spans="1:13" ht="16.5" customHeight="1" x14ac:dyDescent="0.15">
      <c r="A8" s="75">
        <v>2</v>
      </c>
      <c r="B8" s="70" t="s">
        <v>181</v>
      </c>
      <c r="C8" s="58" t="s">
        <v>215</v>
      </c>
      <c r="D8" s="58" t="s">
        <v>215</v>
      </c>
      <c r="E8" s="58" t="s">
        <v>215</v>
      </c>
      <c r="F8" s="58" t="s">
        <v>215</v>
      </c>
      <c r="G8" s="34"/>
      <c r="H8" s="8" t="s">
        <v>158</v>
      </c>
      <c r="I8" s="106" t="s">
        <v>186</v>
      </c>
      <c r="J8" s="105"/>
      <c r="K8" s="9">
        <v>28</v>
      </c>
      <c r="L8" s="10">
        <f>COUNTIF(A4:F453,"UI/UX Figma")</f>
        <v>28</v>
      </c>
      <c r="M8" s="11">
        <f t="shared" si="0"/>
        <v>0</v>
      </c>
    </row>
    <row r="9" spans="1:13" ht="16.5" customHeight="1" x14ac:dyDescent="0.15">
      <c r="A9" s="72" t="s">
        <v>166</v>
      </c>
      <c r="B9" s="69" t="s">
        <v>177</v>
      </c>
      <c r="C9" s="62" t="s">
        <v>188</v>
      </c>
      <c r="D9" s="62" t="s">
        <v>188</v>
      </c>
      <c r="E9" s="62" t="s">
        <v>188</v>
      </c>
      <c r="F9" s="62" t="s">
        <v>188</v>
      </c>
      <c r="G9" s="34"/>
      <c r="H9" s="8" t="s">
        <v>140</v>
      </c>
      <c r="I9" s="105" t="s">
        <v>170</v>
      </c>
      <c r="J9" s="105"/>
      <c r="K9" s="9">
        <v>50</v>
      </c>
      <c r="L9" s="10">
        <f>COUNTIF(A4:F453,"자바프로그래밍")</f>
        <v>50</v>
      </c>
      <c r="M9" s="11">
        <f t="shared" si="0"/>
        <v>0</v>
      </c>
    </row>
    <row r="10" spans="1:13" ht="16.5" customHeight="1" x14ac:dyDescent="0.15">
      <c r="A10" s="75">
        <v>3</v>
      </c>
      <c r="B10" s="73" t="s">
        <v>140</v>
      </c>
      <c r="C10" s="58" t="s">
        <v>215</v>
      </c>
      <c r="D10" s="58" t="s">
        <v>215</v>
      </c>
      <c r="E10" s="58" t="s">
        <v>215</v>
      </c>
      <c r="F10" s="58" t="s">
        <v>215</v>
      </c>
      <c r="G10" s="34"/>
      <c r="H10" s="8" t="s">
        <v>162</v>
      </c>
      <c r="I10" s="106" t="s">
        <v>178</v>
      </c>
      <c r="J10" s="105"/>
      <c r="K10" s="9">
        <v>60</v>
      </c>
      <c r="L10" s="10">
        <f>COUNTIF(A4:F453,"자료구조프로그래밍")</f>
        <v>60</v>
      </c>
      <c r="M10" s="11">
        <f t="shared" si="0"/>
        <v>0</v>
      </c>
    </row>
    <row r="11" spans="1:13" ht="16.5" customHeight="1" x14ac:dyDescent="0.15">
      <c r="A11" s="72" t="s">
        <v>167</v>
      </c>
      <c r="B11" s="69" t="s">
        <v>177</v>
      </c>
      <c r="C11" s="62" t="s">
        <v>188</v>
      </c>
      <c r="D11" s="62" t="s">
        <v>188</v>
      </c>
      <c r="E11" s="62" t="s">
        <v>188</v>
      </c>
      <c r="F11" s="62" t="s">
        <v>188</v>
      </c>
      <c r="G11" s="34"/>
      <c r="H11" s="8" t="s">
        <v>142</v>
      </c>
      <c r="I11" s="106" t="s">
        <v>188</v>
      </c>
      <c r="J11" s="105"/>
      <c r="K11" s="9">
        <v>60</v>
      </c>
      <c r="L11" s="10">
        <f>COUNTIF(A4:F453,"React")</f>
        <v>60</v>
      </c>
      <c r="M11" s="11">
        <f t="shared" si="0"/>
        <v>0</v>
      </c>
    </row>
    <row r="12" spans="1:13" ht="16.5" customHeight="1" x14ac:dyDescent="0.15">
      <c r="A12" s="75">
        <v>4</v>
      </c>
      <c r="B12" s="73" t="s">
        <v>140</v>
      </c>
      <c r="C12" s="58" t="s">
        <v>215</v>
      </c>
      <c r="D12" s="58" t="s">
        <v>215</v>
      </c>
      <c r="E12" s="58" t="s">
        <v>215</v>
      </c>
      <c r="F12" s="58" t="s">
        <v>215</v>
      </c>
      <c r="G12" s="34"/>
      <c r="H12" s="8" t="s">
        <v>214</v>
      </c>
      <c r="I12" s="106" t="s">
        <v>177</v>
      </c>
      <c r="J12" s="105"/>
      <c r="K12" s="9">
        <v>60</v>
      </c>
      <c r="L12" s="10">
        <f>COUNTIF(A4:F453,"DB SQL 프로그래밍")</f>
        <v>60</v>
      </c>
      <c r="M12" s="11">
        <f t="shared" si="0"/>
        <v>0</v>
      </c>
    </row>
    <row r="13" spans="1:13" ht="16.5" customHeight="1" x14ac:dyDescent="0.15">
      <c r="A13" s="72" t="s">
        <v>163</v>
      </c>
      <c r="B13" s="69" t="s">
        <v>177</v>
      </c>
      <c r="C13" s="62" t="s">
        <v>188</v>
      </c>
      <c r="D13" s="62" t="s">
        <v>188</v>
      </c>
      <c r="E13" s="62" t="s">
        <v>188</v>
      </c>
      <c r="F13" s="62" t="s">
        <v>188</v>
      </c>
      <c r="G13" s="34"/>
      <c r="H13" s="8" t="s">
        <v>217</v>
      </c>
      <c r="I13" s="106" t="s">
        <v>177</v>
      </c>
      <c r="J13" s="105"/>
      <c r="K13" s="9">
        <v>56</v>
      </c>
      <c r="L13" s="10">
        <f>COUNTIF(A4:F453,"Servlet &amp; JSP")</f>
        <v>56</v>
      </c>
      <c r="M13" s="11">
        <f t="shared" si="0"/>
        <v>0</v>
      </c>
    </row>
    <row r="14" spans="1:13" ht="16.5" customHeight="1" x14ac:dyDescent="0.15">
      <c r="A14" s="75">
        <v>5</v>
      </c>
      <c r="B14" s="74" t="s">
        <v>140</v>
      </c>
      <c r="C14" s="59" t="s">
        <v>140</v>
      </c>
      <c r="D14" s="59" t="s">
        <v>140</v>
      </c>
      <c r="E14" s="59" t="s">
        <v>140</v>
      </c>
      <c r="F14" s="58" t="s">
        <v>140</v>
      </c>
      <c r="G14" s="34"/>
      <c r="H14" s="8" t="s">
        <v>169</v>
      </c>
      <c r="I14" s="106" t="s">
        <v>177</v>
      </c>
      <c r="J14" s="105"/>
      <c r="K14" s="9">
        <v>60</v>
      </c>
      <c r="L14" s="10">
        <f>COUNTIF(A4:F453,"Spring Boot")</f>
        <v>60</v>
      </c>
      <c r="M14" s="11">
        <f t="shared" si="0"/>
        <v>0</v>
      </c>
    </row>
    <row r="15" spans="1:13" s="1" customFormat="1" ht="16.5" customHeight="1" x14ac:dyDescent="0.15">
      <c r="A15" s="72" t="s">
        <v>165</v>
      </c>
      <c r="B15" s="69" t="s">
        <v>178</v>
      </c>
      <c r="C15" s="62" t="s">
        <v>177</v>
      </c>
      <c r="D15" s="62" t="s">
        <v>177</v>
      </c>
      <c r="E15" s="62" t="s">
        <v>177</v>
      </c>
      <c r="F15" s="62" t="s">
        <v>178</v>
      </c>
      <c r="G15" s="12"/>
      <c r="H15" s="8" t="s">
        <v>216</v>
      </c>
      <c r="I15" s="106" t="s">
        <v>187</v>
      </c>
      <c r="J15" s="105"/>
      <c r="K15" s="9">
        <v>30</v>
      </c>
      <c r="L15" s="13">
        <f>COUNTIF(A4:F453,"Python 데이터 처리분석")</f>
        <v>30</v>
      </c>
      <c r="M15" s="14">
        <f t="shared" si="0"/>
        <v>0</v>
      </c>
    </row>
    <row r="16" spans="1:13" ht="16.5" customHeight="1" x14ac:dyDescent="0.15">
      <c r="A16" s="75">
        <v>6</v>
      </c>
      <c r="B16" s="73" t="s">
        <v>140</v>
      </c>
      <c r="C16" s="58" t="s">
        <v>140</v>
      </c>
      <c r="D16" s="58" t="s">
        <v>140</v>
      </c>
      <c r="E16" s="58" t="s">
        <v>140</v>
      </c>
      <c r="F16" s="58" t="s">
        <v>140</v>
      </c>
      <c r="G16" s="34"/>
      <c r="H16" s="8" t="s">
        <v>157</v>
      </c>
      <c r="I16" s="105" t="s">
        <v>172</v>
      </c>
      <c r="J16" s="105"/>
      <c r="K16" s="9">
        <v>60</v>
      </c>
      <c r="L16" s="10">
        <f>COUNTIF(A4:F453,"AI 프로그래밍")</f>
        <v>60</v>
      </c>
      <c r="M16" s="11">
        <f t="shared" si="0"/>
        <v>0</v>
      </c>
    </row>
    <row r="17" spans="1:13" ht="16.5" customHeight="1" x14ac:dyDescent="0.15">
      <c r="A17" s="72" t="s">
        <v>160</v>
      </c>
      <c r="B17" s="69" t="s">
        <v>178</v>
      </c>
      <c r="C17" s="62" t="s">
        <v>177</v>
      </c>
      <c r="D17" s="62" t="s">
        <v>177</v>
      </c>
      <c r="E17" s="62" t="s">
        <v>177</v>
      </c>
      <c r="F17" s="62" t="s">
        <v>178</v>
      </c>
      <c r="G17" s="34"/>
      <c r="H17" s="8" t="s">
        <v>156</v>
      </c>
      <c r="I17" s="105" t="s">
        <v>218</v>
      </c>
      <c r="J17" s="105"/>
      <c r="K17" s="9">
        <v>70</v>
      </c>
      <c r="L17" s="10">
        <f>COUNTIF(A4:F453,"텐서플로 딥러닝")</f>
        <v>70</v>
      </c>
      <c r="M17" s="11">
        <f t="shared" si="0"/>
        <v>0</v>
      </c>
    </row>
    <row r="18" spans="1:13" ht="16.5" customHeight="1" x14ac:dyDescent="0.15">
      <c r="A18" s="75">
        <v>7</v>
      </c>
      <c r="B18" s="73" t="s">
        <v>140</v>
      </c>
      <c r="C18" s="58" t="s">
        <v>140</v>
      </c>
      <c r="D18" s="58" t="s">
        <v>140</v>
      </c>
      <c r="E18" s="58" t="s">
        <v>140</v>
      </c>
      <c r="F18" s="58" t="s">
        <v>140</v>
      </c>
      <c r="G18" s="34"/>
      <c r="H18" s="8" t="s">
        <v>159</v>
      </c>
      <c r="I18" s="105" t="s">
        <v>171</v>
      </c>
      <c r="J18" s="105"/>
      <c r="K18" s="9">
        <v>65</v>
      </c>
      <c r="L18" s="10">
        <f>COUNTIF(A4:F453,"빅데이터 R 분석")</f>
        <v>65</v>
      </c>
      <c r="M18" s="11">
        <f t="shared" si="0"/>
        <v>0</v>
      </c>
    </row>
    <row r="19" spans="1:13" ht="16.5" customHeight="1" x14ac:dyDescent="0.15">
      <c r="A19" s="72" t="s">
        <v>161</v>
      </c>
      <c r="B19" s="69" t="s">
        <v>178</v>
      </c>
      <c r="C19" s="62" t="s">
        <v>177</v>
      </c>
      <c r="D19" s="62" t="s">
        <v>177</v>
      </c>
      <c r="E19" s="62" t="s">
        <v>177</v>
      </c>
      <c r="F19" s="62" t="s">
        <v>178</v>
      </c>
      <c r="G19" s="34"/>
      <c r="H19" s="8" t="s">
        <v>176</v>
      </c>
      <c r="I19" s="105" t="s">
        <v>220</v>
      </c>
      <c r="J19" s="105"/>
      <c r="K19" s="9">
        <v>150</v>
      </c>
      <c r="L19" s="10">
        <f>COUNTIF(A4:F453,"빅데이터분석 웹서비스 개발 프로젝트")</f>
        <v>150</v>
      </c>
      <c r="M19" s="11">
        <f t="shared" si="0"/>
        <v>0</v>
      </c>
    </row>
    <row r="20" spans="1:13" ht="16.5" customHeight="1" x14ac:dyDescent="0.15">
      <c r="A20" s="75">
        <v>8</v>
      </c>
      <c r="B20" s="73" t="s">
        <v>140</v>
      </c>
      <c r="C20" s="58" t="s">
        <v>140</v>
      </c>
      <c r="D20" s="58" t="s">
        <v>140</v>
      </c>
      <c r="E20" s="58" t="s">
        <v>140</v>
      </c>
      <c r="F20" s="58" t="s">
        <v>140</v>
      </c>
      <c r="G20" s="34"/>
      <c r="H20" s="8" t="s">
        <v>1</v>
      </c>
      <c r="I20" s="105" t="s">
        <v>153</v>
      </c>
      <c r="J20" s="105"/>
      <c r="K20" s="9">
        <v>151</v>
      </c>
      <c r="L20" s="10">
        <f>COUNTIF(A4:F453,"AI 학습모델 웹서비스 개발 프로젝트")</f>
        <v>151</v>
      </c>
      <c r="M20" s="11">
        <f t="shared" si="0"/>
        <v>0</v>
      </c>
    </row>
    <row r="21" spans="1:13" ht="16.5" customHeight="1" x14ac:dyDescent="0.15">
      <c r="A21" s="72" t="s">
        <v>168</v>
      </c>
      <c r="B21" s="69" t="s">
        <v>178</v>
      </c>
      <c r="C21" s="62" t="s">
        <v>177</v>
      </c>
      <c r="D21" s="62" t="s">
        <v>177</v>
      </c>
      <c r="E21" s="62" t="s">
        <v>177</v>
      </c>
      <c r="F21" s="62" t="s">
        <v>178</v>
      </c>
      <c r="G21" s="34"/>
      <c r="H21" s="8" t="s">
        <v>174</v>
      </c>
      <c r="I21" s="105" t="s">
        <v>228</v>
      </c>
      <c r="J21" s="105"/>
      <c r="K21" s="15">
        <v>6</v>
      </c>
      <c r="L21" s="10">
        <f>COUNTIF(A4:F453,"취업활동지원")</f>
        <v>6</v>
      </c>
      <c r="M21" s="11">
        <f t="shared" si="0"/>
        <v>0</v>
      </c>
    </row>
    <row r="22" spans="1:13" ht="16.5" customHeight="1" x14ac:dyDescent="0.15">
      <c r="A22" s="65" t="s">
        <v>202</v>
      </c>
      <c r="B22" s="54" t="s">
        <v>189</v>
      </c>
      <c r="C22" s="54" t="s">
        <v>182</v>
      </c>
      <c r="D22" s="54" t="s">
        <v>192</v>
      </c>
      <c r="E22" s="54" t="s">
        <v>190</v>
      </c>
      <c r="F22" s="54" t="s">
        <v>180</v>
      </c>
      <c r="G22" s="34"/>
      <c r="H22" s="8" t="s">
        <v>185</v>
      </c>
      <c r="I22" s="106" t="s">
        <v>178</v>
      </c>
      <c r="J22" s="105"/>
      <c r="K22" s="15">
        <v>2</v>
      </c>
      <c r="L22" s="10">
        <f>COUNTIF(A4:F453,"수료식")</f>
        <v>2</v>
      </c>
      <c r="M22" s="11">
        <f t="shared" si="0"/>
        <v>0</v>
      </c>
    </row>
    <row r="23" spans="1:13" ht="16.5" customHeight="1" x14ac:dyDescent="0.15">
      <c r="A23" s="55" t="s">
        <v>191</v>
      </c>
      <c r="B23" s="56" t="s">
        <v>123</v>
      </c>
      <c r="C23" s="56" t="s">
        <v>148</v>
      </c>
      <c r="D23" s="56" t="s">
        <v>149</v>
      </c>
      <c r="E23" s="56" t="s">
        <v>151</v>
      </c>
      <c r="F23" s="56" t="s">
        <v>145</v>
      </c>
      <c r="G23" s="34"/>
      <c r="H23" s="16" t="s">
        <v>183</v>
      </c>
      <c r="I23" s="114"/>
      <c r="J23" s="114"/>
      <c r="K23" s="17">
        <f>SUM(K6:K22)</f>
        <v>950</v>
      </c>
      <c r="L23" s="18">
        <f>SUM(L6:L22)</f>
        <v>950</v>
      </c>
      <c r="M23" s="19">
        <f>SUM(M6:M22)</f>
        <v>0</v>
      </c>
    </row>
    <row r="24" spans="1:13" ht="16.5" customHeight="1" x14ac:dyDescent="0.15">
      <c r="A24" s="75">
        <v>1</v>
      </c>
      <c r="B24" s="58" t="s">
        <v>215</v>
      </c>
      <c r="C24" s="58" t="s">
        <v>215</v>
      </c>
      <c r="D24" s="58" t="s">
        <v>215</v>
      </c>
      <c r="E24" s="58" t="s">
        <v>215</v>
      </c>
      <c r="F24" s="58" t="s">
        <v>215</v>
      </c>
      <c r="G24" s="34"/>
      <c r="H24" s="35" t="s">
        <v>132</v>
      </c>
      <c r="I24" s="35"/>
      <c r="J24" s="35" t="s">
        <v>127</v>
      </c>
      <c r="K24" s="35"/>
      <c r="L24" s="35"/>
      <c r="M24" s="35"/>
    </row>
    <row r="25" spans="1:13" ht="16.5" customHeight="1" x14ac:dyDescent="0.15">
      <c r="A25" s="72" t="s">
        <v>164</v>
      </c>
      <c r="B25" s="62" t="s">
        <v>188</v>
      </c>
      <c r="C25" s="62" t="s">
        <v>188</v>
      </c>
      <c r="D25" s="62" t="s">
        <v>188</v>
      </c>
      <c r="E25" s="62" t="s">
        <v>188</v>
      </c>
      <c r="F25" s="62" t="s">
        <v>188</v>
      </c>
      <c r="G25" s="34"/>
      <c r="H25" s="20" t="s">
        <v>179</v>
      </c>
      <c r="I25" s="21" t="s">
        <v>173</v>
      </c>
      <c r="J25" s="38" t="s">
        <v>209</v>
      </c>
      <c r="K25" s="22" t="s">
        <v>191</v>
      </c>
      <c r="L25" s="22" t="s">
        <v>130</v>
      </c>
      <c r="M25" s="23" t="s">
        <v>116</v>
      </c>
    </row>
    <row r="26" spans="1:13" ht="16.5" customHeight="1" x14ac:dyDescent="0.15">
      <c r="A26" s="75">
        <v>2</v>
      </c>
      <c r="B26" s="58" t="s">
        <v>215</v>
      </c>
      <c r="C26" s="58" t="s">
        <v>215</v>
      </c>
      <c r="D26" s="58" t="s">
        <v>215</v>
      </c>
      <c r="E26" s="58" t="s">
        <v>215</v>
      </c>
      <c r="F26" s="58" t="s">
        <v>215</v>
      </c>
      <c r="G26" s="34"/>
      <c r="H26" s="52" t="s">
        <v>178</v>
      </c>
      <c r="I26" s="24">
        <f>COUNTIF(A4:F453,"홍봉희")</f>
        <v>248</v>
      </c>
      <c r="J26" s="39" t="s">
        <v>194</v>
      </c>
      <c r="K26" s="25">
        <v>1</v>
      </c>
      <c r="L26" s="26">
        <v>0.3888888888888889</v>
      </c>
      <c r="M26" s="27">
        <v>0.4236111111111111</v>
      </c>
    </row>
    <row r="27" spans="1:13" ht="16.5" customHeight="1" x14ac:dyDescent="0.15">
      <c r="A27" s="72" t="s">
        <v>166</v>
      </c>
      <c r="B27" s="62" t="s">
        <v>188</v>
      </c>
      <c r="C27" s="62" t="s">
        <v>188</v>
      </c>
      <c r="D27" s="62" t="s">
        <v>188</v>
      </c>
      <c r="E27" s="62" t="s">
        <v>188</v>
      </c>
      <c r="F27" s="62" t="s">
        <v>188</v>
      </c>
      <c r="G27" s="34"/>
      <c r="H27" s="52" t="s">
        <v>195</v>
      </c>
      <c r="I27" s="24">
        <f>COUNTIF(A4:F453,"감진규")</f>
        <v>28</v>
      </c>
      <c r="J27" s="39"/>
      <c r="K27" s="25">
        <v>2</v>
      </c>
      <c r="L27" s="26">
        <v>0.43055555555555558</v>
      </c>
      <c r="M27" s="27">
        <v>0.46527777777777773</v>
      </c>
    </row>
    <row r="28" spans="1:13" ht="16.5" customHeight="1" x14ac:dyDescent="0.15">
      <c r="A28" s="75">
        <v>3</v>
      </c>
      <c r="B28" s="58" t="s">
        <v>215</v>
      </c>
      <c r="C28" s="58" t="s">
        <v>215</v>
      </c>
      <c r="D28" s="58" t="s">
        <v>215</v>
      </c>
      <c r="E28" s="58" t="s">
        <v>215</v>
      </c>
      <c r="F28" s="58" t="s">
        <v>215</v>
      </c>
      <c r="G28" s="34"/>
      <c r="H28" s="52" t="s">
        <v>193</v>
      </c>
      <c r="I28" s="24">
        <f>COUNTIF(A4:F453,"박진선")</f>
        <v>32</v>
      </c>
      <c r="J28" s="39"/>
      <c r="K28" s="25">
        <v>3</v>
      </c>
      <c r="L28" s="26">
        <v>0.47222222222222227</v>
      </c>
      <c r="M28" s="27">
        <v>0.50694444444444442</v>
      </c>
    </row>
    <row r="29" spans="1:13" ht="16.5" customHeight="1" x14ac:dyDescent="0.15">
      <c r="A29" s="72" t="s">
        <v>167</v>
      </c>
      <c r="B29" s="62" t="s">
        <v>188</v>
      </c>
      <c r="C29" s="62" t="s">
        <v>188</v>
      </c>
      <c r="D29" s="62" t="s">
        <v>188</v>
      </c>
      <c r="E29" s="62" t="s">
        <v>188</v>
      </c>
      <c r="F29" s="62" t="s">
        <v>188</v>
      </c>
      <c r="G29" s="34"/>
      <c r="H29" s="52" t="s">
        <v>200</v>
      </c>
      <c r="I29" s="24">
        <f>COUNTIF(A5:F454,"송길태")</f>
        <v>20</v>
      </c>
      <c r="J29" s="39"/>
      <c r="K29" s="25">
        <v>4</v>
      </c>
      <c r="L29" s="26">
        <v>0.51388888888888895</v>
      </c>
      <c r="M29" s="27">
        <v>0.54861111111111105</v>
      </c>
    </row>
    <row r="30" spans="1:13" ht="16.5" customHeight="1" x14ac:dyDescent="0.15">
      <c r="A30" s="75">
        <v>4</v>
      </c>
      <c r="B30" s="58" t="s">
        <v>215</v>
      </c>
      <c r="C30" s="58" t="s">
        <v>215</v>
      </c>
      <c r="D30" s="58" t="s">
        <v>215</v>
      </c>
      <c r="E30" s="58" t="s">
        <v>215</v>
      </c>
      <c r="F30" s="58" t="s">
        <v>215</v>
      </c>
      <c r="G30" s="34"/>
      <c r="H30" s="52" t="s">
        <v>177</v>
      </c>
      <c r="I30" s="24">
        <f>COUNTIF(A5:F454,"이상현")</f>
        <v>286</v>
      </c>
      <c r="J30" s="39" t="s">
        <v>196</v>
      </c>
      <c r="K30" s="25"/>
      <c r="L30" s="26">
        <v>0.54861111111111105</v>
      </c>
      <c r="M30" s="27">
        <v>0.59027777777777779</v>
      </c>
    </row>
    <row r="31" spans="1:13" ht="16.5" customHeight="1" x14ac:dyDescent="0.15">
      <c r="A31" s="72" t="s">
        <v>163</v>
      </c>
      <c r="B31" s="62" t="s">
        <v>188</v>
      </c>
      <c r="C31" s="62" t="s">
        <v>188</v>
      </c>
      <c r="D31" s="62" t="s">
        <v>188</v>
      </c>
      <c r="E31" s="62" t="s">
        <v>188</v>
      </c>
      <c r="F31" s="62" t="s">
        <v>188</v>
      </c>
      <c r="G31" s="34"/>
      <c r="H31" s="52" t="s">
        <v>188</v>
      </c>
      <c r="I31" s="24">
        <f>COUNTIF(A5:F454,"김경민")</f>
        <v>166</v>
      </c>
      <c r="J31" s="39" t="s">
        <v>194</v>
      </c>
      <c r="K31" s="25">
        <v>5</v>
      </c>
      <c r="L31" s="26">
        <v>0.59027777777777779</v>
      </c>
      <c r="M31" s="27">
        <v>0.625</v>
      </c>
    </row>
    <row r="32" spans="1:13" ht="16.5" customHeight="1" x14ac:dyDescent="0.15">
      <c r="A32" s="75">
        <v>5</v>
      </c>
      <c r="B32" s="58" t="s">
        <v>140</v>
      </c>
      <c r="C32" s="58" t="s">
        <v>140</v>
      </c>
      <c r="D32" s="58" t="s">
        <v>140</v>
      </c>
      <c r="E32" s="58" t="s">
        <v>140</v>
      </c>
      <c r="F32" s="58" t="s">
        <v>140</v>
      </c>
      <c r="G32" s="34"/>
      <c r="H32" s="52" t="s">
        <v>205</v>
      </c>
      <c r="I32" s="24">
        <f>COUNTIF(A5:F454,"김명희")</f>
        <v>28</v>
      </c>
      <c r="J32" s="39"/>
      <c r="K32" s="25">
        <v>6</v>
      </c>
      <c r="L32" s="26">
        <v>0.63194444444444442</v>
      </c>
      <c r="M32" s="27">
        <v>0.66666666666666663</v>
      </c>
    </row>
    <row r="33" spans="1:13" ht="16.5" customHeight="1" x14ac:dyDescent="0.15">
      <c r="A33" s="72" t="s">
        <v>165</v>
      </c>
      <c r="B33" s="62" t="s">
        <v>178</v>
      </c>
      <c r="C33" s="62" t="s">
        <v>177</v>
      </c>
      <c r="D33" s="62" t="s">
        <v>177</v>
      </c>
      <c r="E33" s="62" t="s">
        <v>177</v>
      </c>
      <c r="F33" s="62" t="s">
        <v>178</v>
      </c>
      <c r="G33" s="34"/>
      <c r="H33" s="52" t="s">
        <v>212</v>
      </c>
      <c r="I33" s="24">
        <f>COUNTIF(A5:F454,"한상곤")</f>
        <v>56</v>
      </c>
      <c r="J33" s="39"/>
      <c r="K33" s="25">
        <v>7</v>
      </c>
      <c r="L33" s="26">
        <v>0.67361111111111116</v>
      </c>
      <c r="M33" s="27">
        <v>0.70833333333333337</v>
      </c>
    </row>
    <row r="34" spans="1:13" ht="16.5" customHeight="1" x14ac:dyDescent="0.15">
      <c r="A34" s="75">
        <v>6</v>
      </c>
      <c r="B34" s="58" t="s">
        <v>140</v>
      </c>
      <c r="C34" s="58" t="s">
        <v>140</v>
      </c>
      <c r="D34" s="58" t="s">
        <v>140</v>
      </c>
      <c r="E34" s="58" t="s">
        <v>140</v>
      </c>
      <c r="F34" s="58" t="s">
        <v>140</v>
      </c>
      <c r="G34" s="34"/>
      <c r="H34" s="52" t="s">
        <v>187</v>
      </c>
      <c r="I34" s="24">
        <f>COUNTIF(A5:F454,"이태훈")</f>
        <v>30</v>
      </c>
      <c r="J34" s="40"/>
      <c r="K34" s="28">
        <v>8</v>
      </c>
      <c r="L34" s="29">
        <v>0.71527777777777779</v>
      </c>
      <c r="M34" s="30">
        <v>0.75</v>
      </c>
    </row>
    <row r="35" spans="1:13" ht="16.5" customHeight="1" x14ac:dyDescent="0.15">
      <c r="A35" s="72" t="s">
        <v>160</v>
      </c>
      <c r="B35" s="62" t="s">
        <v>178</v>
      </c>
      <c r="C35" s="62" t="s">
        <v>177</v>
      </c>
      <c r="D35" s="62" t="s">
        <v>177</v>
      </c>
      <c r="E35" s="62" t="s">
        <v>177</v>
      </c>
      <c r="F35" s="62" t="s">
        <v>178</v>
      </c>
      <c r="G35" s="34"/>
      <c r="H35" s="52" t="s">
        <v>197</v>
      </c>
      <c r="I35" s="24">
        <f>COUNTIF(A4:F453,"김태연")</f>
        <v>56</v>
      </c>
      <c r="J35" s="34"/>
      <c r="K35" s="34"/>
      <c r="L35" s="34"/>
      <c r="M35" s="34"/>
    </row>
    <row r="36" spans="1:13" ht="16.5" customHeight="1" x14ac:dyDescent="0.15">
      <c r="A36" s="75">
        <v>7</v>
      </c>
      <c r="B36" s="58" t="s">
        <v>140</v>
      </c>
      <c r="C36" s="58" t="s">
        <v>140</v>
      </c>
      <c r="D36" s="58" t="s">
        <v>140</v>
      </c>
      <c r="E36" s="58" t="s">
        <v>140</v>
      </c>
      <c r="F36" s="58" t="s">
        <v>140</v>
      </c>
      <c r="G36" s="34"/>
      <c r="H36" s="36" t="s">
        <v>183</v>
      </c>
      <c r="I36" s="37">
        <f>SUM(I25:I35)</f>
        <v>950</v>
      </c>
      <c r="J36" s="34"/>
      <c r="K36" s="34"/>
      <c r="L36" s="34"/>
      <c r="M36" s="34"/>
    </row>
    <row r="37" spans="1:13" ht="16.5" customHeight="1" x14ac:dyDescent="0.15">
      <c r="A37" s="72" t="s">
        <v>161</v>
      </c>
      <c r="B37" s="62" t="s">
        <v>178</v>
      </c>
      <c r="C37" s="62" t="s">
        <v>177</v>
      </c>
      <c r="D37" s="62" t="s">
        <v>177</v>
      </c>
      <c r="E37" s="62" t="s">
        <v>177</v>
      </c>
      <c r="F37" s="62" t="s">
        <v>178</v>
      </c>
      <c r="G37" s="34"/>
      <c r="H37" s="49"/>
      <c r="I37" s="45"/>
      <c r="J37" s="34"/>
      <c r="K37" s="34"/>
      <c r="L37" s="34"/>
      <c r="M37" s="34"/>
    </row>
    <row r="38" spans="1:13" ht="16.5" customHeight="1" x14ac:dyDescent="0.15">
      <c r="A38" s="75">
        <v>8</v>
      </c>
      <c r="B38" s="58" t="s">
        <v>140</v>
      </c>
      <c r="C38" s="58" t="s">
        <v>140</v>
      </c>
      <c r="D38" s="58" t="s">
        <v>140</v>
      </c>
      <c r="E38" s="58" t="s">
        <v>140</v>
      </c>
      <c r="F38" s="58" t="s">
        <v>140</v>
      </c>
      <c r="G38" s="34"/>
      <c r="H38" s="34"/>
      <c r="I38" s="34"/>
      <c r="J38" s="34"/>
      <c r="K38" s="34"/>
      <c r="L38" s="34"/>
      <c r="M38" s="34"/>
    </row>
    <row r="39" spans="1:13" ht="16.5" customHeight="1" x14ac:dyDescent="0.15">
      <c r="A39" s="72" t="s">
        <v>168</v>
      </c>
      <c r="B39" s="62" t="s">
        <v>178</v>
      </c>
      <c r="C39" s="62" t="s">
        <v>177</v>
      </c>
      <c r="D39" s="62" t="s">
        <v>177</v>
      </c>
      <c r="E39" s="62" t="s">
        <v>177</v>
      </c>
      <c r="F39" s="62" t="s">
        <v>178</v>
      </c>
      <c r="G39" s="34"/>
      <c r="H39" s="34"/>
      <c r="I39" s="34"/>
      <c r="J39" s="34"/>
      <c r="K39" s="34"/>
      <c r="L39" s="34"/>
      <c r="M39" s="34"/>
    </row>
    <row r="40" spans="1:13" ht="16.5" customHeight="1" x14ac:dyDescent="0.15">
      <c r="A40" s="54" t="s">
        <v>210</v>
      </c>
      <c r="B40" s="54" t="s">
        <v>189</v>
      </c>
      <c r="C40" s="54" t="s">
        <v>182</v>
      </c>
      <c r="D40" s="54" t="s">
        <v>192</v>
      </c>
      <c r="E40" s="54" t="s">
        <v>190</v>
      </c>
      <c r="F40" s="54" t="s">
        <v>180</v>
      </c>
      <c r="G40" s="34"/>
      <c r="H40" s="34"/>
      <c r="I40" s="34"/>
      <c r="J40" s="34"/>
      <c r="K40" s="34"/>
      <c r="L40" s="34"/>
      <c r="M40" s="34"/>
    </row>
    <row r="41" spans="1:13" ht="16.5" customHeight="1" x14ac:dyDescent="0.15">
      <c r="A41" s="55" t="s">
        <v>191</v>
      </c>
      <c r="B41" s="56" t="s">
        <v>150</v>
      </c>
      <c r="C41" s="56" t="s">
        <v>146</v>
      </c>
      <c r="D41" s="56" t="s">
        <v>147</v>
      </c>
      <c r="E41" s="56" t="s">
        <v>56</v>
      </c>
      <c r="F41" s="56" t="s">
        <v>57</v>
      </c>
      <c r="G41" s="34"/>
      <c r="H41" s="34"/>
      <c r="I41" s="34"/>
      <c r="J41" s="34"/>
      <c r="K41" s="34"/>
      <c r="L41" s="34"/>
      <c r="M41" s="34"/>
    </row>
    <row r="42" spans="1:13" ht="16.5" customHeight="1" x14ac:dyDescent="0.15">
      <c r="A42" s="75">
        <v>1</v>
      </c>
      <c r="B42" s="58" t="s">
        <v>140</v>
      </c>
      <c r="C42" s="58" t="s">
        <v>215</v>
      </c>
      <c r="D42" s="58" t="s">
        <v>140</v>
      </c>
      <c r="E42" s="58" t="s">
        <v>142</v>
      </c>
      <c r="F42" s="58" t="s">
        <v>142</v>
      </c>
      <c r="G42" s="34"/>
      <c r="H42" s="34"/>
      <c r="I42" s="34"/>
      <c r="J42" s="34"/>
      <c r="K42" s="34"/>
      <c r="L42" s="34"/>
      <c r="M42" s="34"/>
    </row>
    <row r="43" spans="1:13" ht="16.5" customHeight="1" x14ac:dyDescent="0.15">
      <c r="A43" s="72" t="s">
        <v>164</v>
      </c>
      <c r="B43" s="62" t="s">
        <v>178</v>
      </c>
      <c r="C43" s="62" t="s">
        <v>188</v>
      </c>
      <c r="D43" s="62" t="s">
        <v>178</v>
      </c>
      <c r="E43" s="62" t="s">
        <v>188</v>
      </c>
      <c r="F43" s="62" t="s">
        <v>188</v>
      </c>
      <c r="G43" s="34"/>
      <c r="H43" s="34"/>
      <c r="I43" s="34"/>
      <c r="J43" s="34"/>
      <c r="K43" s="34"/>
      <c r="L43" s="34"/>
      <c r="M43" s="34"/>
    </row>
    <row r="44" spans="1:13" ht="16.5" customHeight="1" x14ac:dyDescent="0.15">
      <c r="A44" s="75">
        <v>2</v>
      </c>
      <c r="B44" s="58" t="s">
        <v>140</v>
      </c>
      <c r="C44" s="58" t="s">
        <v>215</v>
      </c>
      <c r="D44" s="58" t="s">
        <v>140</v>
      </c>
      <c r="E44" s="58" t="s">
        <v>142</v>
      </c>
      <c r="F44" s="58" t="s">
        <v>142</v>
      </c>
      <c r="G44" s="34"/>
      <c r="H44" s="34"/>
      <c r="I44" s="34"/>
      <c r="J44" s="34"/>
      <c r="K44" s="34"/>
      <c r="L44" s="34"/>
      <c r="M44" s="34"/>
    </row>
    <row r="45" spans="1:13" ht="16.5" customHeight="1" x14ac:dyDescent="0.15">
      <c r="A45" s="72" t="s">
        <v>166</v>
      </c>
      <c r="B45" s="62" t="s">
        <v>178</v>
      </c>
      <c r="C45" s="62" t="s">
        <v>188</v>
      </c>
      <c r="D45" s="62" t="s">
        <v>178</v>
      </c>
      <c r="E45" s="62" t="s">
        <v>188</v>
      </c>
      <c r="F45" s="62" t="s">
        <v>188</v>
      </c>
      <c r="G45" s="34"/>
      <c r="H45" s="34"/>
      <c r="I45" s="34"/>
      <c r="J45" s="34"/>
      <c r="K45" s="34"/>
      <c r="L45" s="34"/>
      <c r="M45" s="34"/>
    </row>
    <row r="46" spans="1:13" ht="16.5" customHeight="1" x14ac:dyDescent="0.15">
      <c r="A46" s="75">
        <v>3</v>
      </c>
      <c r="B46" s="58" t="s">
        <v>140</v>
      </c>
      <c r="C46" s="58" t="s">
        <v>215</v>
      </c>
      <c r="D46" s="58" t="s">
        <v>140</v>
      </c>
      <c r="E46" s="58" t="s">
        <v>142</v>
      </c>
      <c r="F46" s="58" t="s">
        <v>142</v>
      </c>
      <c r="G46" s="34"/>
      <c r="H46" s="34"/>
      <c r="I46" s="34"/>
      <c r="J46" s="34"/>
      <c r="K46" s="34"/>
      <c r="L46" s="34"/>
      <c r="M46" s="34"/>
    </row>
    <row r="47" spans="1:13" ht="16.5" customHeight="1" x14ac:dyDescent="0.15">
      <c r="A47" s="72" t="s">
        <v>167</v>
      </c>
      <c r="B47" s="62" t="s">
        <v>178</v>
      </c>
      <c r="C47" s="62" t="s">
        <v>188</v>
      </c>
      <c r="D47" s="62" t="s">
        <v>178</v>
      </c>
      <c r="E47" s="62" t="s">
        <v>188</v>
      </c>
      <c r="F47" s="62" t="s">
        <v>188</v>
      </c>
      <c r="G47" s="34"/>
      <c r="H47" s="34"/>
      <c r="I47" s="34"/>
      <c r="J47" s="34"/>
      <c r="K47" s="34"/>
      <c r="L47" s="34"/>
      <c r="M47" s="34"/>
    </row>
    <row r="48" spans="1:13" ht="16.5" customHeight="1" x14ac:dyDescent="0.15">
      <c r="A48" s="75">
        <v>4</v>
      </c>
      <c r="B48" s="58" t="s">
        <v>140</v>
      </c>
      <c r="C48" s="58" t="s">
        <v>215</v>
      </c>
      <c r="D48" s="58" t="s">
        <v>140</v>
      </c>
      <c r="E48" s="58" t="s">
        <v>142</v>
      </c>
      <c r="F48" s="58" t="s">
        <v>142</v>
      </c>
      <c r="G48" s="34"/>
      <c r="H48" s="34"/>
      <c r="I48" s="34"/>
      <c r="J48" s="34"/>
      <c r="K48" s="34"/>
      <c r="L48" s="34"/>
      <c r="M48" s="34"/>
    </row>
    <row r="49" spans="1:13" ht="16.5" customHeight="1" x14ac:dyDescent="0.15">
      <c r="A49" s="72" t="s">
        <v>163</v>
      </c>
      <c r="B49" s="62" t="s">
        <v>178</v>
      </c>
      <c r="C49" s="62" t="s">
        <v>188</v>
      </c>
      <c r="D49" s="62" t="s">
        <v>178</v>
      </c>
      <c r="E49" s="62" t="s">
        <v>188</v>
      </c>
      <c r="F49" s="62" t="s">
        <v>188</v>
      </c>
      <c r="G49" s="34"/>
      <c r="H49" s="34"/>
      <c r="I49" s="117"/>
      <c r="J49" s="117"/>
      <c r="K49" s="34"/>
      <c r="L49" s="34"/>
      <c r="M49" s="34"/>
    </row>
    <row r="50" spans="1:13" ht="16.5" customHeight="1" x14ac:dyDescent="0.15">
      <c r="A50" s="75">
        <v>5</v>
      </c>
      <c r="B50" s="58" t="s">
        <v>214</v>
      </c>
      <c r="C50" s="58" t="s">
        <v>214</v>
      </c>
      <c r="D50" s="58" t="s">
        <v>214</v>
      </c>
      <c r="E50" s="58" t="s">
        <v>214</v>
      </c>
      <c r="F50" s="58" t="s">
        <v>214</v>
      </c>
      <c r="G50" s="34"/>
      <c r="H50" s="34"/>
      <c r="I50" s="117"/>
      <c r="J50" s="117"/>
      <c r="K50" s="34"/>
      <c r="L50" s="34"/>
      <c r="M50" s="34"/>
    </row>
    <row r="51" spans="1:13" ht="16.5" customHeight="1" x14ac:dyDescent="0.15">
      <c r="A51" s="72" t="s">
        <v>165</v>
      </c>
      <c r="B51" s="62" t="s">
        <v>177</v>
      </c>
      <c r="C51" s="62" t="s">
        <v>177</v>
      </c>
      <c r="D51" s="62" t="s">
        <v>177</v>
      </c>
      <c r="E51" s="62" t="s">
        <v>177</v>
      </c>
      <c r="F51" s="62" t="s">
        <v>177</v>
      </c>
      <c r="G51" s="34"/>
      <c r="H51" s="34"/>
      <c r="I51" s="118"/>
      <c r="J51" s="118"/>
      <c r="K51" s="34"/>
      <c r="L51" s="34"/>
      <c r="M51" s="34"/>
    </row>
    <row r="52" spans="1:13" ht="16.5" customHeight="1" x14ac:dyDescent="0.15">
      <c r="A52" s="75">
        <v>6</v>
      </c>
      <c r="B52" s="58" t="s">
        <v>214</v>
      </c>
      <c r="C52" s="58" t="s">
        <v>214</v>
      </c>
      <c r="D52" s="58" t="s">
        <v>214</v>
      </c>
      <c r="E52" s="58" t="s">
        <v>214</v>
      </c>
      <c r="F52" s="58" t="s">
        <v>214</v>
      </c>
      <c r="G52" s="34"/>
      <c r="H52" s="53" t="s">
        <v>178</v>
      </c>
      <c r="I52" s="112" t="s">
        <v>140</v>
      </c>
      <c r="J52" s="113"/>
      <c r="K52" s="41">
        <v>24</v>
      </c>
      <c r="L52" s="34"/>
      <c r="M52" s="34"/>
    </row>
    <row r="53" spans="1:13" ht="16.5" customHeight="1" x14ac:dyDescent="0.15">
      <c r="A53" s="72" t="s">
        <v>160</v>
      </c>
      <c r="B53" s="62" t="s">
        <v>177</v>
      </c>
      <c r="C53" s="62" t="s">
        <v>177</v>
      </c>
      <c r="D53" s="62" t="s">
        <v>177</v>
      </c>
      <c r="E53" s="62" t="s">
        <v>177</v>
      </c>
      <c r="F53" s="62" t="s">
        <v>177</v>
      </c>
      <c r="G53" s="34"/>
      <c r="H53" s="53" t="s">
        <v>178</v>
      </c>
      <c r="I53" s="112" t="s">
        <v>162</v>
      </c>
      <c r="J53" s="113"/>
      <c r="K53" s="41">
        <v>60</v>
      </c>
      <c r="L53" s="34"/>
      <c r="M53" s="34"/>
    </row>
    <row r="54" spans="1:13" ht="16.5" customHeight="1" x14ac:dyDescent="0.15">
      <c r="A54" s="75">
        <v>7</v>
      </c>
      <c r="B54" s="58" t="s">
        <v>214</v>
      </c>
      <c r="C54" s="58" t="s">
        <v>214</v>
      </c>
      <c r="D54" s="58" t="s">
        <v>214</v>
      </c>
      <c r="E54" s="58" t="s">
        <v>214</v>
      </c>
      <c r="F54" s="58" t="s">
        <v>214</v>
      </c>
      <c r="G54" s="34"/>
      <c r="H54" s="53" t="s">
        <v>178</v>
      </c>
      <c r="I54" s="112" t="s">
        <v>156</v>
      </c>
      <c r="J54" s="113"/>
      <c r="K54" s="41">
        <v>26</v>
      </c>
      <c r="L54" s="34"/>
      <c r="M54" s="34"/>
    </row>
    <row r="55" spans="1:13" ht="16.5" customHeight="1" x14ac:dyDescent="0.15">
      <c r="A55" s="72" t="s">
        <v>161</v>
      </c>
      <c r="B55" s="62" t="s">
        <v>177</v>
      </c>
      <c r="C55" s="62" t="s">
        <v>177</v>
      </c>
      <c r="D55" s="62" t="s">
        <v>177</v>
      </c>
      <c r="E55" s="62" t="s">
        <v>177</v>
      </c>
      <c r="F55" s="62" t="s">
        <v>177</v>
      </c>
      <c r="G55" s="34"/>
      <c r="H55" s="53" t="s">
        <v>178</v>
      </c>
      <c r="I55" s="112" t="s">
        <v>159</v>
      </c>
      <c r="J55" s="113"/>
      <c r="K55" s="41">
        <v>33</v>
      </c>
      <c r="L55" s="34"/>
      <c r="M55" s="34"/>
    </row>
    <row r="56" spans="1:13" ht="16.5" customHeight="1" x14ac:dyDescent="0.15">
      <c r="A56" s="75">
        <v>8</v>
      </c>
      <c r="B56" s="58" t="s">
        <v>214</v>
      </c>
      <c r="C56" s="58" t="s">
        <v>214</v>
      </c>
      <c r="D56" s="58" t="s">
        <v>214</v>
      </c>
      <c r="E56" s="58" t="s">
        <v>214</v>
      </c>
      <c r="F56" s="58" t="s">
        <v>214</v>
      </c>
      <c r="G56" s="34"/>
      <c r="H56" s="53" t="s">
        <v>178</v>
      </c>
      <c r="I56" s="115" t="s">
        <v>176</v>
      </c>
      <c r="J56" s="116"/>
      <c r="K56" s="44">
        <v>54</v>
      </c>
      <c r="L56" s="34"/>
      <c r="M56" s="34"/>
    </row>
    <row r="57" spans="1:13" ht="16.5" customHeight="1" x14ac:dyDescent="0.15">
      <c r="A57" s="72" t="s">
        <v>168</v>
      </c>
      <c r="B57" s="62" t="s">
        <v>177</v>
      </c>
      <c r="C57" s="62" t="s">
        <v>177</v>
      </c>
      <c r="D57" s="62" t="s">
        <v>177</v>
      </c>
      <c r="E57" s="62" t="s">
        <v>177</v>
      </c>
      <c r="F57" s="62" t="s">
        <v>177</v>
      </c>
      <c r="G57" s="34"/>
      <c r="H57" s="53" t="s">
        <v>178</v>
      </c>
      <c r="I57" s="115" t="s">
        <v>1</v>
      </c>
      <c r="J57" s="116"/>
      <c r="K57" s="44">
        <v>47</v>
      </c>
      <c r="L57" s="34"/>
      <c r="M57" s="34"/>
    </row>
    <row r="58" spans="1:13" ht="16.5" customHeight="1" x14ac:dyDescent="0.15">
      <c r="A58" s="54" t="s">
        <v>198</v>
      </c>
      <c r="B58" s="54" t="s">
        <v>189</v>
      </c>
      <c r="C58" s="54" t="s">
        <v>182</v>
      </c>
      <c r="D58" s="54" t="s">
        <v>192</v>
      </c>
      <c r="E58" s="54" t="s">
        <v>190</v>
      </c>
      <c r="F58" s="54" t="s">
        <v>180</v>
      </c>
      <c r="G58" s="34"/>
      <c r="H58" s="53" t="s">
        <v>178</v>
      </c>
      <c r="I58" s="112" t="s">
        <v>174</v>
      </c>
      <c r="J58" s="113"/>
      <c r="K58" s="41">
        <v>2</v>
      </c>
      <c r="L58" s="34"/>
      <c r="M58" s="34"/>
    </row>
    <row r="59" spans="1:13" ht="16.5" customHeight="1" x14ac:dyDescent="0.15">
      <c r="A59" s="55" t="s">
        <v>191</v>
      </c>
      <c r="B59" s="56" t="s">
        <v>58</v>
      </c>
      <c r="C59" s="56" t="s">
        <v>69</v>
      </c>
      <c r="D59" s="56" t="s">
        <v>66</v>
      </c>
      <c r="E59" s="56" t="s">
        <v>67</v>
      </c>
      <c r="F59" s="56" t="s">
        <v>59</v>
      </c>
      <c r="G59" s="34"/>
      <c r="H59" s="53" t="s">
        <v>178</v>
      </c>
      <c r="I59" s="112" t="s">
        <v>185</v>
      </c>
      <c r="J59" s="113"/>
      <c r="K59" s="41">
        <v>2</v>
      </c>
      <c r="L59" s="34"/>
      <c r="M59" s="34"/>
    </row>
    <row r="60" spans="1:13" ht="16.5" customHeight="1" x14ac:dyDescent="0.15">
      <c r="A60" s="75">
        <v>1</v>
      </c>
      <c r="B60" s="58" t="s">
        <v>162</v>
      </c>
      <c r="C60" s="58" t="s">
        <v>142</v>
      </c>
      <c r="D60" s="58" t="s">
        <v>162</v>
      </c>
      <c r="E60" s="58" t="s">
        <v>142</v>
      </c>
      <c r="F60" s="58" t="s">
        <v>214</v>
      </c>
      <c r="G60" s="34"/>
      <c r="H60" s="53" t="s">
        <v>193</v>
      </c>
      <c r="I60" s="112" t="s">
        <v>157</v>
      </c>
      <c r="J60" s="113"/>
      <c r="K60" s="41">
        <v>32</v>
      </c>
      <c r="L60" s="34"/>
      <c r="M60" s="34"/>
    </row>
    <row r="61" spans="1:13" ht="16.5" customHeight="1" x14ac:dyDescent="0.15">
      <c r="A61" s="72" t="s">
        <v>164</v>
      </c>
      <c r="B61" s="62" t="s">
        <v>178</v>
      </c>
      <c r="C61" s="62" t="s">
        <v>188</v>
      </c>
      <c r="D61" s="62" t="s">
        <v>178</v>
      </c>
      <c r="E61" s="62" t="s">
        <v>188</v>
      </c>
      <c r="F61" s="62" t="s">
        <v>177</v>
      </c>
      <c r="G61" s="34"/>
      <c r="H61" s="53" t="s">
        <v>200</v>
      </c>
      <c r="I61" s="112" t="s">
        <v>156</v>
      </c>
      <c r="J61" s="113"/>
      <c r="K61" s="41">
        <v>20</v>
      </c>
      <c r="L61" s="34"/>
      <c r="M61" s="34"/>
    </row>
    <row r="62" spans="1:13" ht="16.5" customHeight="1" x14ac:dyDescent="0.15">
      <c r="A62" s="75">
        <v>2</v>
      </c>
      <c r="B62" s="58" t="s">
        <v>162</v>
      </c>
      <c r="C62" s="58" t="s">
        <v>142</v>
      </c>
      <c r="D62" s="58" t="s">
        <v>162</v>
      </c>
      <c r="E62" s="58" t="s">
        <v>142</v>
      </c>
      <c r="F62" s="58" t="s">
        <v>214</v>
      </c>
      <c r="G62" s="34"/>
      <c r="H62" s="53" t="s">
        <v>177</v>
      </c>
      <c r="I62" s="112" t="s">
        <v>181</v>
      </c>
      <c r="J62" s="113"/>
      <c r="K62" s="41">
        <v>2</v>
      </c>
      <c r="L62" s="34"/>
      <c r="M62" s="34"/>
    </row>
    <row r="63" spans="1:13" ht="16.5" customHeight="1" x14ac:dyDescent="0.15">
      <c r="A63" s="72" t="s">
        <v>166</v>
      </c>
      <c r="B63" s="62" t="s">
        <v>178</v>
      </c>
      <c r="C63" s="62" t="s">
        <v>188</v>
      </c>
      <c r="D63" s="62" t="s">
        <v>178</v>
      </c>
      <c r="E63" s="62" t="s">
        <v>188</v>
      </c>
      <c r="F63" s="62" t="s">
        <v>177</v>
      </c>
      <c r="G63" s="34"/>
      <c r="H63" s="53" t="s">
        <v>177</v>
      </c>
      <c r="I63" s="112" t="s">
        <v>140</v>
      </c>
      <c r="J63" s="113"/>
      <c r="K63" s="41">
        <v>26</v>
      </c>
      <c r="L63" s="34"/>
      <c r="M63" s="34"/>
    </row>
    <row r="64" spans="1:13" ht="16.5" customHeight="1" x14ac:dyDescent="0.15">
      <c r="A64" s="75">
        <v>3</v>
      </c>
      <c r="B64" s="58" t="s">
        <v>162</v>
      </c>
      <c r="C64" s="58" t="s">
        <v>142</v>
      </c>
      <c r="D64" s="58" t="s">
        <v>162</v>
      </c>
      <c r="E64" s="58" t="s">
        <v>142</v>
      </c>
      <c r="F64" s="58" t="s">
        <v>214</v>
      </c>
      <c r="G64" s="34"/>
      <c r="H64" s="53" t="s">
        <v>177</v>
      </c>
      <c r="I64" s="112" t="s">
        <v>214</v>
      </c>
      <c r="J64" s="113"/>
      <c r="K64" s="41">
        <v>60</v>
      </c>
      <c r="L64" s="34"/>
      <c r="M64" s="34"/>
    </row>
    <row r="65" spans="1:13" ht="16.5" customHeight="1" x14ac:dyDescent="0.15">
      <c r="A65" s="72" t="s">
        <v>167</v>
      </c>
      <c r="B65" s="62" t="s">
        <v>178</v>
      </c>
      <c r="C65" s="62" t="s">
        <v>188</v>
      </c>
      <c r="D65" s="62" t="s">
        <v>178</v>
      </c>
      <c r="E65" s="62" t="s">
        <v>188</v>
      </c>
      <c r="F65" s="62" t="s">
        <v>177</v>
      </c>
      <c r="G65" s="34"/>
      <c r="H65" s="53" t="s">
        <v>177</v>
      </c>
      <c r="I65" s="112" t="s">
        <v>217</v>
      </c>
      <c r="J65" s="113"/>
      <c r="K65" s="41">
        <v>56</v>
      </c>
      <c r="L65" s="34"/>
      <c r="M65" s="34"/>
    </row>
    <row r="66" spans="1:13" ht="16.5" customHeight="1" x14ac:dyDescent="0.15">
      <c r="A66" s="75">
        <v>4</v>
      </c>
      <c r="B66" s="58" t="s">
        <v>162</v>
      </c>
      <c r="C66" s="58" t="s">
        <v>142</v>
      </c>
      <c r="D66" s="58" t="s">
        <v>162</v>
      </c>
      <c r="E66" s="58" t="s">
        <v>142</v>
      </c>
      <c r="F66" s="58" t="s">
        <v>214</v>
      </c>
      <c r="G66" s="34"/>
      <c r="H66" s="53" t="s">
        <v>177</v>
      </c>
      <c r="I66" s="112" t="s">
        <v>169</v>
      </c>
      <c r="J66" s="113"/>
      <c r="K66" s="41">
        <v>60</v>
      </c>
      <c r="L66" s="34"/>
      <c r="M66" s="34"/>
    </row>
    <row r="67" spans="1:13" ht="16.5" customHeight="1" x14ac:dyDescent="0.15">
      <c r="A67" s="72" t="s">
        <v>163</v>
      </c>
      <c r="B67" s="62" t="s">
        <v>178</v>
      </c>
      <c r="C67" s="62" t="s">
        <v>188</v>
      </c>
      <c r="D67" s="62" t="s">
        <v>178</v>
      </c>
      <c r="E67" s="62" t="s">
        <v>188</v>
      </c>
      <c r="F67" s="62" t="s">
        <v>177</v>
      </c>
      <c r="G67" s="34"/>
      <c r="H67" s="53" t="s">
        <v>177</v>
      </c>
      <c r="I67" s="115" t="s">
        <v>176</v>
      </c>
      <c r="J67" s="116"/>
      <c r="K67" s="44">
        <v>40</v>
      </c>
      <c r="L67" s="34"/>
      <c r="M67" s="34"/>
    </row>
    <row r="68" spans="1:13" ht="16.5" customHeight="1" x14ac:dyDescent="0.15">
      <c r="A68" s="75">
        <v>5</v>
      </c>
      <c r="B68" s="58" t="s">
        <v>214</v>
      </c>
      <c r="C68" s="58" t="s">
        <v>214</v>
      </c>
      <c r="D68" s="58" t="s">
        <v>214</v>
      </c>
      <c r="E68" s="58" t="s">
        <v>214</v>
      </c>
      <c r="F68" s="58" t="s">
        <v>142</v>
      </c>
      <c r="G68" s="34"/>
      <c r="H68" s="53" t="s">
        <v>177</v>
      </c>
      <c r="I68" s="115" t="s">
        <v>1</v>
      </c>
      <c r="J68" s="116"/>
      <c r="K68" s="44">
        <v>40</v>
      </c>
      <c r="L68" s="34"/>
      <c r="M68" s="34"/>
    </row>
    <row r="69" spans="1:13" ht="16.5" customHeight="1" x14ac:dyDescent="0.15">
      <c r="A69" s="72" t="s">
        <v>165</v>
      </c>
      <c r="B69" s="62" t="s">
        <v>177</v>
      </c>
      <c r="C69" s="62" t="s">
        <v>177</v>
      </c>
      <c r="D69" s="62" t="s">
        <v>177</v>
      </c>
      <c r="E69" s="62" t="s">
        <v>177</v>
      </c>
      <c r="F69" s="62" t="s">
        <v>188</v>
      </c>
      <c r="G69" s="34"/>
      <c r="H69" s="53" t="s">
        <v>177</v>
      </c>
      <c r="I69" s="112" t="s">
        <v>174</v>
      </c>
      <c r="J69" s="113"/>
      <c r="K69" s="41">
        <v>2</v>
      </c>
      <c r="L69" s="34"/>
      <c r="M69" s="34"/>
    </row>
    <row r="70" spans="1:13" ht="16.5" customHeight="1" x14ac:dyDescent="0.15">
      <c r="A70" s="75">
        <v>6</v>
      </c>
      <c r="B70" s="58" t="s">
        <v>214</v>
      </c>
      <c r="C70" s="58" t="s">
        <v>214</v>
      </c>
      <c r="D70" s="58" t="s">
        <v>214</v>
      </c>
      <c r="E70" s="58" t="s">
        <v>214</v>
      </c>
      <c r="F70" s="58" t="s">
        <v>142</v>
      </c>
      <c r="G70" s="34"/>
      <c r="H70" s="53" t="s">
        <v>188</v>
      </c>
      <c r="I70" s="112" t="s">
        <v>215</v>
      </c>
      <c r="J70" s="113"/>
      <c r="K70" s="41">
        <v>40</v>
      </c>
      <c r="L70" s="34"/>
      <c r="M70" s="34"/>
    </row>
    <row r="71" spans="1:13" ht="16.5" customHeight="1" x14ac:dyDescent="0.15">
      <c r="A71" s="72" t="s">
        <v>160</v>
      </c>
      <c r="B71" s="62" t="s">
        <v>177</v>
      </c>
      <c r="C71" s="62" t="s">
        <v>177</v>
      </c>
      <c r="D71" s="62" t="s">
        <v>177</v>
      </c>
      <c r="E71" s="62" t="s">
        <v>177</v>
      </c>
      <c r="F71" s="62" t="s">
        <v>188</v>
      </c>
      <c r="G71" s="34"/>
      <c r="H71" s="53" t="s">
        <v>188</v>
      </c>
      <c r="I71" s="112" t="s">
        <v>142</v>
      </c>
      <c r="J71" s="113"/>
      <c r="K71" s="41">
        <v>60</v>
      </c>
      <c r="L71" s="34"/>
      <c r="M71" s="34"/>
    </row>
    <row r="72" spans="1:13" ht="16.5" customHeight="1" x14ac:dyDescent="0.15">
      <c r="A72" s="75">
        <v>7</v>
      </c>
      <c r="B72" s="58" t="s">
        <v>214</v>
      </c>
      <c r="C72" s="58" t="s">
        <v>214</v>
      </c>
      <c r="D72" s="58" t="s">
        <v>214</v>
      </c>
      <c r="E72" s="58" t="s">
        <v>214</v>
      </c>
      <c r="F72" s="58" t="s">
        <v>142</v>
      </c>
      <c r="G72" s="34"/>
      <c r="H72" s="53" t="s">
        <v>188</v>
      </c>
      <c r="I72" s="115" t="s">
        <v>176</v>
      </c>
      <c r="J72" s="116"/>
      <c r="K72" s="44">
        <v>32</v>
      </c>
      <c r="L72" s="34"/>
      <c r="M72" s="34"/>
    </row>
    <row r="73" spans="1:13" ht="16.5" customHeight="1" x14ac:dyDescent="0.15">
      <c r="A73" s="72" t="s">
        <v>161</v>
      </c>
      <c r="B73" s="62" t="s">
        <v>177</v>
      </c>
      <c r="C73" s="62" t="s">
        <v>177</v>
      </c>
      <c r="D73" s="62" t="s">
        <v>177</v>
      </c>
      <c r="E73" s="62" t="s">
        <v>177</v>
      </c>
      <c r="F73" s="62" t="s">
        <v>188</v>
      </c>
      <c r="G73" s="34"/>
      <c r="H73" s="53" t="s">
        <v>188</v>
      </c>
      <c r="I73" s="115" t="s">
        <v>1</v>
      </c>
      <c r="J73" s="116"/>
      <c r="K73" s="44">
        <v>32</v>
      </c>
      <c r="L73" s="34"/>
      <c r="M73" s="34"/>
    </row>
    <row r="74" spans="1:13" ht="16.5" customHeight="1" x14ac:dyDescent="0.15">
      <c r="A74" s="75">
        <v>8</v>
      </c>
      <c r="B74" s="58" t="s">
        <v>214</v>
      </c>
      <c r="C74" s="58" t="s">
        <v>214</v>
      </c>
      <c r="D74" s="58" t="s">
        <v>214</v>
      </c>
      <c r="E74" s="58" t="s">
        <v>214</v>
      </c>
      <c r="F74" s="58" t="s">
        <v>142</v>
      </c>
      <c r="G74" s="34"/>
      <c r="H74" s="53" t="s">
        <v>188</v>
      </c>
      <c r="I74" s="112" t="s">
        <v>174</v>
      </c>
      <c r="J74" s="113"/>
      <c r="K74" s="41">
        <v>2</v>
      </c>
      <c r="L74" s="34"/>
      <c r="M74" s="34"/>
    </row>
    <row r="75" spans="1:13" ht="16.5" customHeight="1" x14ac:dyDescent="0.15">
      <c r="A75" s="72" t="s">
        <v>168</v>
      </c>
      <c r="B75" s="62" t="s">
        <v>177</v>
      </c>
      <c r="C75" s="62" t="s">
        <v>177</v>
      </c>
      <c r="D75" s="62" t="s">
        <v>177</v>
      </c>
      <c r="E75" s="62" t="s">
        <v>177</v>
      </c>
      <c r="F75" s="62" t="s">
        <v>188</v>
      </c>
      <c r="G75" s="34"/>
      <c r="H75" s="53" t="s">
        <v>187</v>
      </c>
      <c r="I75" s="112" t="s">
        <v>216</v>
      </c>
      <c r="J75" s="113"/>
      <c r="K75" s="41">
        <v>30</v>
      </c>
      <c r="L75" s="34"/>
      <c r="M75" s="34"/>
    </row>
    <row r="76" spans="1:13" ht="16.5" customHeight="1" x14ac:dyDescent="0.15">
      <c r="A76" s="54" t="s">
        <v>199</v>
      </c>
      <c r="B76" s="54" t="s">
        <v>189</v>
      </c>
      <c r="C76" s="54" t="s">
        <v>182</v>
      </c>
      <c r="D76" s="54" t="s">
        <v>192</v>
      </c>
      <c r="E76" s="54" t="s">
        <v>190</v>
      </c>
      <c r="F76" s="54" t="s">
        <v>180</v>
      </c>
      <c r="G76" s="34"/>
      <c r="H76" s="53" t="s">
        <v>197</v>
      </c>
      <c r="I76" s="115" t="s">
        <v>156</v>
      </c>
      <c r="J76" s="116"/>
      <c r="K76" s="44">
        <v>24</v>
      </c>
      <c r="L76" s="34"/>
      <c r="M76" s="34"/>
    </row>
    <row r="77" spans="1:13" ht="16.5" customHeight="1" x14ac:dyDescent="0.15">
      <c r="A77" s="55" t="s">
        <v>191</v>
      </c>
      <c r="B77" s="56" t="s">
        <v>62</v>
      </c>
      <c r="C77" s="56" t="s">
        <v>68</v>
      </c>
      <c r="D77" s="56" t="s">
        <v>64</v>
      </c>
      <c r="E77" s="56" t="s">
        <v>65</v>
      </c>
      <c r="F77" s="56" t="s">
        <v>70</v>
      </c>
      <c r="G77" s="34"/>
      <c r="H77" s="53" t="s">
        <v>197</v>
      </c>
      <c r="I77" s="112" t="s">
        <v>1</v>
      </c>
      <c r="J77" s="113"/>
      <c r="K77" s="41">
        <v>32</v>
      </c>
      <c r="L77" s="34"/>
      <c r="M77" s="34"/>
    </row>
    <row r="78" spans="1:13" ht="16.5" customHeight="1" x14ac:dyDescent="0.15">
      <c r="A78" s="75">
        <v>1</v>
      </c>
      <c r="B78" s="101" t="s">
        <v>221</v>
      </c>
      <c r="C78" s="58" t="s">
        <v>142</v>
      </c>
      <c r="D78" s="58" t="s">
        <v>162</v>
      </c>
      <c r="E78" s="58" t="s">
        <v>142</v>
      </c>
      <c r="F78" s="100" t="s">
        <v>61</v>
      </c>
      <c r="G78" s="34"/>
      <c r="H78" s="53" t="s">
        <v>195</v>
      </c>
      <c r="I78" s="112" t="s">
        <v>157</v>
      </c>
      <c r="J78" s="113"/>
      <c r="K78" s="41">
        <v>28</v>
      </c>
      <c r="L78" s="34"/>
      <c r="M78" s="34"/>
    </row>
    <row r="79" spans="1:13" ht="16.5" customHeight="1" x14ac:dyDescent="0.15">
      <c r="A79" s="72" t="s">
        <v>164</v>
      </c>
      <c r="B79" s="103"/>
      <c r="C79" s="62" t="s">
        <v>188</v>
      </c>
      <c r="D79" s="62" t="s">
        <v>178</v>
      </c>
      <c r="E79" s="62" t="s">
        <v>188</v>
      </c>
      <c r="F79" s="100"/>
      <c r="G79" s="34"/>
      <c r="H79" s="53" t="s">
        <v>205</v>
      </c>
      <c r="I79" s="112" t="s">
        <v>158</v>
      </c>
      <c r="J79" s="113"/>
      <c r="K79" s="41">
        <v>28</v>
      </c>
      <c r="L79" s="34"/>
      <c r="M79" s="34"/>
    </row>
    <row r="80" spans="1:13" ht="16.5" customHeight="1" x14ac:dyDescent="0.15">
      <c r="A80" s="75">
        <v>2</v>
      </c>
      <c r="B80" s="103"/>
      <c r="C80" s="58" t="s">
        <v>142</v>
      </c>
      <c r="D80" s="58" t="s">
        <v>162</v>
      </c>
      <c r="E80" s="58" t="s">
        <v>142</v>
      </c>
      <c r="F80" s="100"/>
      <c r="G80" s="34"/>
      <c r="H80" s="53" t="s">
        <v>212</v>
      </c>
      <c r="I80" s="115" t="s">
        <v>159</v>
      </c>
      <c r="J80" s="116"/>
      <c r="K80" s="44">
        <v>32</v>
      </c>
      <c r="L80" s="34"/>
      <c r="M80" s="34"/>
    </row>
    <row r="81" spans="1:13" ht="16.5" customHeight="1" x14ac:dyDescent="0.15">
      <c r="A81" s="72" t="s">
        <v>166</v>
      </c>
      <c r="B81" s="103"/>
      <c r="C81" s="62" t="s">
        <v>188</v>
      </c>
      <c r="D81" s="62" t="s">
        <v>178</v>
      </c>
      <c r="E81" s="62" t="s">
        <v>188</v>
      </c>
      <c r="F81" s="100"/>
      <c r="G81" s="34"/>
      <c r="H81" s="43" t="s">
        <v>212</v>
      </c>
      <c r="I81" s="112" t="s">
        <v>176</v>
      </c>
      <c r="J81" s="113"/>
      <c r="K81" s="41">
        <v>24</v>
      </c>
      <c r="L81" s="34"/>
      <c r="M81" s="34"/>
    </row>
    <row r="82" spans="1:13" ht="16.5" customHeight="1" x14ac:dyDescent="0.15">
      <c r="A82" s="75">
        <v>3</v>
      </c>
      <c r="B82" s="103"/>
      <c r="C82" s="58" t="s">
        <v>142</v>
      </c>
      <c r="D82" s="58" t="s">
        <v>162</v>
      </c>
      <c r="E82" s="58" t="s">
        <v>142</v>
      </c>
      <c r="F82" s="100"/>
      <c r="G82" s="34"/>
      <c r="H82" s="95" t="s">
        <v>183</v>
      </c>
      <c r="I82" s="119"/>
      <c r="J82" s="119"/>
      <c r="K82" s="95">
        <f>SUM(K52:K81)</f>
        <v>950</v>
      </c>
      <c r="L82" s="34"/>
      <c r="M82" s="34"/>
    </row>
    <row r="83" spans="1:13" ht="16.5" customHeight="1" x14ac:dyDescent="0.15">
      <c r="A83" s="72" t="s">
        <v>167</v>
      </c>
      <c r="B83" s="103"/>
      <c r="C83" s="62" t="s">
        <v>188</v>
      </c>
      <c r="D83" s="62" t="s">
        <v>178</v>
      </c>
      <c r="E83" s="62" t="s">
        <v>188</v>
      </c>
      <c r="F83" s="100"/>
      <c r="G83" s="34"/>
      <c r="H83" s="48"/>
      <c r="I83" s="120"/>
      <c r="J83" s="120"/>
      <c r="K83" s="51"/>
      <c r="L83" s="34"/>
      <c r="M83" s="34"/>
    </row>
    <row r="84" spans="1:13" ht="16.5" customHeight="1" x14ac:dyDescent="0.15">
      <c r="A84" s="75">
        <v>4</v>
      </c>
      <c r="B84" s="103"/>
      <c r="C84" s="58" t="s">
        <v>142</v>
      </c>
      <c r="D84" s="58" t="s">
        <v>162</v>
      </c>
      <c r="E84" s="58" t="s">
        <v>142</v>
      </c>
      <c r="F84" s="100"/>
      <c r="G84" s="34"/>
      <c r="H84" s="47"/>
      <c r="I84" s="120"/>
      <c r="J84" s="120"/>
      <c r="K84" s="47"/>
      <c r="L84" s="34"/>
      <c r="M84" s="34"/>
    </row>
    <row r="85" spans="1:13" ht="16.5" customHeight="1" x14ac:dyDescent="0.15">
      <c r="A85" s="72" t="s">
        <v>163</v>
      </c>
      <c r="B85" s="103"/>
      <c r="C85" s="62" t="s">
        <v>188</v>
      </c>
      <c r="D85" s="62" t="s">
        <v>178</v>
      </c>
      <c r="E85" s="62" t="s">
        <v>188</v>
      </c>
      <c r="F85" s="100"/>
      <c r="G85" s="34"/>
      <c r="H85" s="34"/>
      <c r="I85" s="34"/>
      <c r="J85" s="34"/>
      <c r="K85" s="34"/>
      <c r="L85" s="34"/>
      <c r="M85" s="34"/>
    </row>
    <row r="86" spans="1:13" ht="16.5" customHeight="1" x14ac:dyDescent="0.15">
      <c r="A86" s="75">
        <v>5</v>
      </c>
      <c r="B86" s="103"/>
      <c r="C86" s="58" t="s">
        <v>214</v>
      </c>
      <c r="D86" s="58" t="s">
        <v>214</v>
      </c>
      <c r="E86" s="58" t="s">
        <v>214</v>
      </c>
      <c r="F86" s="100"/>
      <c r="G86" s="34"/>
      <c r="H86" s="34"/>
      <c r="I86" s="34"/>
      <c r="J86" s="34"/>
      <c r="K86" s="34"/>
      <c r="L86" s="34"/>
      <c r="M86" s="34"/>
    </row>
    <row r="87" spans="1:13" ht="16.5" customHeight="1" x14ac:dyDescent="0.15">
      <c r="A87" s="72" t="s">
        <v>165</v>
      </c>
      <c r="B87" s="103"/>
      <c r="C87" s="62" t="s">
        <v>177</v>
      </c>
      <c r="D87" s="62" t="s">
        <v>177</v>
      </c>
      <c r="E87" s="62" t="s">
        <v>177</v>
      </c>
      <c r="F87" s="100"/>
      <c r="G87" s="34"/>
      <c r="H87" s="34"/>
      <c r="I87" s="34"/>
      <c r="J87" s="34"/>
      <c r="K87" s="34"/>
      <c r="L87" s="34"/>
      <c r="M87" s="34"/>
    </row>
    <row r="88" spans="1:13" ht="16.5" customHeight="1" x14ac:dyDescent="0.15">
      <c r="A88" s="75">
        <v>6</v>
      </c>
      <c r="B88" s="103"/>
      <c r="C88" s="58" t="s">
        <v>214</v>
      </c>
      <c r="D88" s="58" t="s">
        <v>214</v>
      </c>
      <c r="E88" s="58" t="s">
        <v>214</v>
      </c>
      <c r="F88" s="100"/>
      <c r="G88" s="34"/>
      <c r="H88" s="34"/>
      <c r="I88" s="34"/>
      <c r="J88" s="34"/>
      <c r="K88" s="34"/>
      <c r="L88" s="34"/>
      <c r="M88" s="34"/>
    </row>
    <row r="89" spans="1:13" ht="16.5" customHeight="1" x14ac:dyDescent="0.15">
      <c r="A89" s="72" t="s">
        <v>160</v>
      </c>
      <c r="B89" s="103"/>
      <c r="C89" s="62" t="s">
        <v>177</v>
      </c>
      <c r="D89" s="62" t="s">
        <v>177</v>
      </c>
      <c r="E89" s="62" t="s">
        <v>177</v>
      </c>
      <c r="F89" s="100"/>
      <c r="G89" s="34"/>
      <c r="H89" s="34"/>
      <c r="I89" s="34"/>
      <c r="J89" s="34"/>
      <c r="K89" s="34"/>
      <c r="L89" s="34"/>
      <c r="M89" s="34"/>
    </row>
    <row r="90" spans="1:13" ht="16.5" customHeight="1" x14ac:dyDescent="0.15">
      <c r="A90" s="75">
        <v>7</v>
      </c>
      <c r="B90" s="103"/>
      <c r="C90" s="58" t="s">
        <v>214</v>
      </c>
      <c r="D90" s="58" t="s">
        <v>214</v>
      </c>
      <c r="E90" s="58" t="s">
        <v>214</v>
      </c>
      <c r="F90" s="100"/>
      <c r="G90" s="34"/>
      <c r="H90" s="34"/>
      <c r="I90" s="34"/>
      <c r="J90" s="34"/>
      <c r="K90" s="34"/>
      <c r="L90" s="34"/>
      <c r="M90" s="34"/>
    </row>
    <row r="91" spans="1:13" ht="16.5" customHeight="1" x14ac:dyDescent="0.15">
      <c r="A91" s="72" t="s">
        <v>161</v>
      </c>
      <c r="B91" s="103"/>
      <c r="C91" s="62" t="s">
        <v>177</v>
      </c>
      <c r="D91" s="62" t="s">
        <v>177</v>
      </c>
      <c r="E91" s="62" t="s">
        <v>177</v>
      </c>
      <c r="F91" s="100"/>
      <c r="G91" s="34"/>
      <c r="H91" s="34"/>
      <c r="I91" s="34"/>
      <c r="J91" s="34"/>
      <c r="K91" s="34"/>
      <c r="L91" s="34"/>
      <c r="M91" s="34"/>
    </row>
    <row r="92" spans="1:13" ht="16.5" customHeight="1" x14ac:dyDescent="0.15">
      <c r="A92" s="75">
        <v>8</v>
      </c>
      <c r="B92" s="103"/>
      <c r="C92" s="58" t="s">
        <v>214</v>
      </c>
      <c r="D92" s="58" t="s">
        <v>214</v>
      </c>
      <c r="E92" s="58" t="s">
        <v>214</v>
      </c>
      <c r="F92" s="100"/>
      <c r="G92" s="34"/>
      <c r="H92" s="34"/>
      <c r="I92" s="34"/>
      <c r="J92" s="34"/>
      <c r="K92" s="34"/>
      <c r="L92" s="34"/>
      <c r="M92" s="34"/>
    </row>
    <row r="93" spans="1:13" ht="16.5" customHeight="1" x14ac:dyDescent="0.15">
      <c r="A93" s="72" t="s">
        <v>168</v>
      </c>
      <c r="B93" s="104"/>
      <c r="C93" s="62" t="s">
        <v>177</v>
      </c>
      <c r="D93" s="62" t="s">
        <v>177</v>
      </c>
      <c r="E93" s="62" t="s">
        <v>177</v>
      </c>
      <c r="F93" s="100"/>
      <c r="G93" s="34"/>
      <c r="H93" s="34"/>
      <c r="I93" s="34"/>
      <c r="J93" s="34"/>
      <c r="K93" s="34"/>
      <c r="L93" s="34"/>
      <c r="M93" s="34"/>
    </row>
    <row r="94" spans="1:13" ht="16.5" customHeight="1" x14ac:dyDescent="0.15">
      <c r="A94" s="54" t="s">
        <v>208</v>
      </c>
      <c r="B94" s="54" t="s">
        <v>189</v>
      </c>
      <c r="C94" s="54" t="s">
        <v>182</v>
      </c>
      <c r="D94" s="54" t="s">
        <v>192</v>
      </c>
      <c r="E94" s="54" t="s">
        <v>190</v>
      </c>
      <c r="F94" s="54" t="s">
        <v>180</v>
      </c>
      <c r="G94" s="34"/>
      <c r="H94" s="34"/>
      <c r="I94" s="34"/>
      <c r="J94" s="34"/>
      <c r="K94" s="34"/>
      <c r="L94" s="34"/>
      <c r="M94" s="34"/>
    </row>
    <row r="95" spans="1:13" ht="16.5" customHeight="1" x14ac:dyDescent="0.15">
      <c r="A95" s="55" t="s">
        <v>191</v>
      </c>
      <c r="B95" s="56" t="s">
        <v>63</v>
      </c>
      <c r="C95" s="56" t="s">
        <v>95</v>
      </c>
      <c r="D95" s="56" t="s">
        <v>81</v>
      </c>
      <c r="E95" s="56" t="s">
        <v>86</v>
      </c>
      <c r="F95" s="56" t="s">
        <v>84</v>
      </c>
      <c r="G95" s="34"/>
      <c r="H95" s="34"/>
      <c r="I95" s="34"/>
      <c r="J95" s="34"/>
      <c r="K95" s="34"/>
      <c r="L95" s="34"/>
      <c r="M95" s="34"/>
    </row>
    <row r="96" spans="1:13" ht="16.5" customHeight="1" x14ac:dyDescent="0.15">
      <c r="A96" s="75">
        <v>1</v>
      </c>
      <c r="B96" s="57" t="s">
        <v>162</v>
      </c>
      <c r="C96" s="58" t="s">
        <v>142</v>
      </c>
      <c r="D96" s="57" t="s">
        <v>162</v>
      </c>
      <c r="E96" s="58" t="s">
        <v>142</v>
      </c>
      <c r="F96" s="57" t="s">
        <v>162</v>
      </c>
      <c r="G96" s="34"/>
      <c r="H96" s="34"/>
      <c r="I96" s="34"/>
      <c r="J96" s="34"/>
      <c r="K96" s="34"/>
      <c r="L96" s="34"/>
      <c r="M96" s="34"/>
    </row>
    <row r="97" spans="1:13" ht="16.5" customHeight="1" x14ac:dyDescent="0.15">
      <c r="A97" s="72" t="s">
        <v>164</v>
      </c>
      <c r="B97" s="62" t="s">
        <v>178</v>
      </c>
      <c r="C97" s="62" t="s">
        <v>188</v>
      </c>
      <c r="D97" s="62" t="s">
        <v>178</v>
      </c>
      <c r="E97" s="62" t="s">
        <v>188</v>
      </c>
      <c r="F97" s="62" t="s">
        <v>178</v>
      </c>
      <c r="G97" s="34"/>
      <c r="H97" s="34"/>
      <c r="I97" s="34"/>
      <c r="J97" s="34"/>
      <c r="K97" s="34"/>
      <c r="L97" s="34"/>
      <c r="M97" s="34"/>
    </row>
    <row r="98" spans="1:13" ht="16.5" customHeight="1" x14ac:dyDescent="0.15">
      <c r="A98" s="75">
        <v>2</v>
      </c>
      <c r="B98" s="58" t="s">
        <v>162</v>
      </c>
      <c r="C98" s="58" t="s">
        <v>142</v>
      </c>
      <c r="D98" s="58" t="s">
        <v>162</v>
      </c>
      <c r="E98" s="58" t="s">
        <v>142</v>
      </c>
      <c r="F98" s="58" t="s">
        <v>162</v>
      </c>
      <c r="G98" s="34"/>
      <c r="H98" s="34"/>
      <c r="I98" s="34"/>
      <c r="J98" s="34"/>
      <c r="K98" s="34"/>
      <c r="L98" s="34"/>
      <c r="M98" s="34"/>
    </row>
    <row r="99" spans="1:13" ht="16.5" customHeight="1" x14ac:dyDescent="0.15">
      <c r="A99" s="72" t="s">
        <v>166</v>
      </c>
      <c r="B99" s="62" t="s">
        <v>178</v>
      </c>
      <c r="C99" s="62" t="s">
        <v>188</v>
      </c>
      <c r="D99" s="62" t="s">
        <v>178</v>
      </c>
      <c r="E99" s="62" t="s">
        <v>188</v>
      </c>
      <c r="F99" s="62" t="s">
        <v>178</v>
      </c>
      <c r="G99" s="34"/>
      <c r="H99" s="34"/>
      <c r="I99" s="34"/>
      <c r="J99" s="34"/>
      <c r="K99" s="34"/>
      <c r="L99" s="34"/>
      <c r="M99" s="34"/>
    </row>
    <row r="100" spans="1:13" ht="16.5" customHeight="1" x14ac:dyDescent="0.15">
      <c r="A100" s="75">
        <v>3</v>
      </c>
      <c r="B100" s="60" t="s">
        <v>162</v>
      </c>
      <c r="C100" s="58" t="s">
        <v>142</v>
      </c>
      <c r="D100" s="60" t="s">
        <v>162</v>
      </c>
      <c r="E100" s="58" t="s">
        <v>142</v>
      </c>
      <c r="F100" s="60" t="s">
        <v>162</v>
      </c>
      <c r="G100" s="34"/>
      <c r="H100" s="34"/>
      <c r="I100" s="34"/>
      <c r="J100" s="34"/>
      <c r="K100" s="34"/>
      <c r="L100" s="34"/>
      <c r="M100" s="34"/>
    </row>
    <row r="101" spans="1:13" ht="16.5" customHeight="1" x14ac:dyDescent="0.15">
      <c r="A101" s="72" t="s">
        <v>167</v>
      </c>
      <c r="B101" s="62" t="s">
        <v>178</v>
      </c>
      <c r="C101" s="62" t="s">
        <v>188</v>
      </c>
      <c r="D101" s="62" t="s">
        <v>178</v>
      </c>
      <c r="E101" s="62" t="s">
        <v>188</v>
      </c>
      <c r="F101" s="62" t="s">
        <v>178</v>
      </c>
      <c r="G101" s="34"/>
      <c r="H101" s="34"/>
      <c r="I101" s="34"/>
      <c r="J101" s="34"/>
      <c r="K101" s="34"/>
      <c r="L101" s="34"/>
      <c r="M101" s="34"/>
    </row>
    <row r="102" spans="1:13" ht="16.5" customHeight="1" x14ac:dyDescent="0.15">
      <c r="A102" s="75">
        <v>4</v>
      </c>
      <c r="B102" s="60" t="s">
        <v>162</v>
      </c>
      <c r="C102" s="58" t="s">
        <v>142</v>
      </c>
      <c r="D102" s="60" t="s">
        <v>162</v>
      </c>
      <c r="E102" s="58" t="s">
        <v>142</v>
      </c>
      <c r="F102" s="60" t="s">
        <v>162</v>
      </c>
      <c r="G102" s="34"/>
      <c r="H102" s="34"/>
      <c r="I102" s="34"/>
      <c r="J102" s="34"/>
      <c r="K102" s="34"/>
      <c r="L102" s="34"/>
      <c r="M102" s="34"/>
    </row>
    <row r="103" spans="1:13" ht="16.5" customHeight="1" x14ac:dyDescent="0.15">
      <c r="A103" s="72" t="s">
        <v>163</v>
      </c>
      <c r="B103" s="62" t="s">
        <v>178</v>
      </c>
      <c r="C103" s="62" t="s">
        <v>188</v>
      </c>
      <c r="D103" s="62" t="s">
        <v>178</v>
      </c>
      <c r="E103" s="62" t="s">
        <v>188</v>
      </c>
      <c r="F103" s="62" t="s">
        <v>178</v>
      </c>
      <c r="G103" s="34"/>
      <c r="H103" s="34"/>
      <c r="I103" s="34"/>
      <c r="J103" s="34"/>
      <c r="K103" s="34"/>
      <c r="L103" s="34"/>
      <c r="M103" s="34"/>
    </row>
    <row r="104" spans="1:13" ht="16.5" customHeight="1" x14ac:dyDescent="0.15">
      <c r="A104" s="75">
        <v>5</v>
      </c>
      <c r="B104" s="58" t="s">
        <v>214</v>
      </c>
      <c r="C104" s="58" t="s">
        <v>214</v>
      </c>
      <c r="D104" s="59" t="s">
        <v>217</v>
      </c>
      <c r="E104" s="59" t="s">
        <v>217</v>
      </c>
      <c r="F104" s="58" t="s">
        <v>217</v>
      </c>
      <c r="G104" s="34"/>
      <c r="H104" s="34"/>
      <c r="I104" s="34"/>
      <c r="J104" s="34"/>
      <c r="K104" s="34"/>
      <c r="L104" s="34"/>
      <c r="M104" s="34"/>
    </row>
    <row r="105" spans="1:13" ht="16.5" customHeight="1" x14ac:dyDescent="0.15">
      <c r="A105" s="72" t="s">
        <v>165</v>
      </c>
      <c r="B105" s="62" t="s">
        <v>177</v>
      </c>
      <c r="C105" s="62" t="s">
        <v>177</v>
      </c>
      <c r="D105" s="62" t="s">
        <v>177</v>
      </c>
      <c r="E105" s="62" t="s">
        <v>177</v>
      </c>
      <c r="F105" s="62" t="s">
        <v>177</v>
      </c>
      <c r="G105" s="34"/>
      <c r="H105" s="34"/>
      <c r="I105" s="34"/>
      <c r="J105" s="34"/>
      <c r="K105" s="34"/>
      <c r="L105" s="34"/>
      <c r="M105" s="34"/>
    </row>
    <row r="106" spans="1:13" ht="16.5" customHeight="1" x14ac:dyDescent="0.15">
      <c r="A106" s="75">
        <v>6</v>
      </c>
      <c r="B106" s="58" t="s">
        <v>214</v>
      </c>
      <c r="C106" s="58" t="s">
        <v>214</v>
      </c>
      <c r="D106" s="58" t="s">
        <v>217</v>
      </c>
      <c r="E106" s="58" t="s">
        <v>217</v>
      </c>
      <c r="F106" s="58" t="s">
        <v>217</v>
      </c>
      <c r="G106" s="34"/>
      <c r="H106" s="34"/>
      <c r="I106" s="34"/>
      <c r="J106" s="34"/>
      <c r="K106" s="34"/>
      <c r="L106" s="34"/>
      <c r="M106" s="34"/>
    </row>
    <row r="107" spans="1:13" ht="16.5" customHeight="1" x14ac:dyDescent="0.15">
      <c r="A107" s="72" t="s">
        <v>160</v>
      </c>
      <c r="B107" s="62" t="s">
        <v>177</v>
      </c>
      <c r="C107" s="62" t="s">
        <v>177</v>
      </c>
      <c r="D107" s="62" t="s">
        <v>177</v>
      </c>
      <c r="E107" s="62" t="s">
        <v>177</v>
      </c>
      <c r="F107" s="62" t="s">
        <v>177</v>
      </c>
      <c r="G107" s="34"/>
      <c r="H107" s="34"/>
      <c r="I107" s="34"/>
      <c r="J107" s="34"/>
      <c r="K107" s="34"/>
      <c r="L107" s="34"/>
      <c r="M107" s="34"/>
    </row>
    <row r="108" spans="1:13" ht="16.5" customHeight="1" x14ac:dyDescent="0.15">
      <c r="A108" s="75">
        <v>7</v>
      </c>
      <c r="B108" s="58" t="s">
        <v>214</v>
      </c>
      <c r="C108" s="58" t="s">
        <v>214</v>
      </c>
      <c r="D108" s="58" t="s">
        <v>217</v>
      </c>
      <c r="E108" s="58" t="s">
        <v>217</v>
      </c>
      <c r="F108" s="58" t="s">
        <v>217</v>
      </c>
      <c r="G108" s="34"/>
      <c r="H108" s="34"/>
      <c r="I108" s="34"/>
      <c r="J108" s="34"/>
      <c r="K108" s="34"/>
      <c r="L108" s="34"/>
      <c r="M108" s="34"/>
    </row>
    <row r="109" spans="1:13" ht="16.5" customHeight="1" x14ac:dyDescent="0.15">
      <c r="A109" s="72" t="s">
        <v>161</v>
      </c>
      <c r="B109" s="62" t="s">
        <v>177</v>
      </c>
      <c r="C109" s="62" t="s">
        <v>177</v>
      </c>
      <c r="D109" s="62" t="s">
        <v>177</v>
      </c>
      <c r="E109" s="62" t="s">
        <v>177</v>
      </c>
      <c r="F109" s="62" t="s">
        <v>177</v>
      </c>
      <c r="G109" s="34"/>
      <c r="H109" s="34"/>
      <c r="I109" s="34"/>
      <c r="J109" s="34"/>
      <c r="K109" s="34"/>
      <c r="L109" s="34"/>
      <c r="M109" s="34"/>
    </row>
    <row r="110" spans="1:13" ht="16.5" customHeight="1" x14ac:dyDescent="0.15">
      <c r="A110" s="75">
        <v>8</v>
      </c>
      <c r="B110" s="58" t="s">
        <v>214</v>
      </c>
      <c r="C110" s="58" t="s">
        <v>214</v>
      </c>
      <c r="D110" s="58" t="s">
        <v>217</v>
      </c>
      <c r="E110" s="58" t="s">
        <v>217</v>
      </c>
      <c r="F110" s="58" t="s">
        <v>217</v>
      </c>
      <c r="G110" s="34"/>
      <c r="H110" s="34"/>
      <c r="I110" s="34"/>
      <c r="J110" s="34"/>
      <c r="K110" s="34"/>
      <c r="L110" s="34"/>
      <c r="M110" s="34"/>
    </row>
    <row r="111" spans="1:13" ht="16.5" customHeight="1" x14ac:dyDescent="0.15">
      <c r="A111" s="72" t="s">
        <v>168</v>
      </c>
      <c r="B111" s="62" t="s">
        <v>177</v>
      </c>
      <c r="C111" s="62" t="s">
        <v>177</v>
      </c>
      <c r="D111" s="62" t="s">
        <v>177</v>
      </c>
      <c r="E111" s="62" t="s">
        <v>177</v>
      </c>
      <c r="F111" s="62" t="s">
        <v>177</v>
      </c>
      <c r="G111" s="34"/>
      <c r="H111" s="34"/>
      <c r="I111" s="34"/>
      <c r="J111" s="34"/>
      <c r="K111" s="34"/>
      <c r="L111" s="34"/>
      <c r="M111" s="34"/>
    </row>
    <row r="112" spans="1:13" ht="16.5" customHeight="1" x14ac:dyDescent="0.15">
      <c r="A112" s="54" t="s">
        <v>204</v>
      </c>
      <c r="B112" s="54" t="s">
        <v>189</v>
      </c>
      <c r="C112" s="54" t="s">
        <v>182</v>
      </c>
      <c r="D112" s="54" t="s">
        <v>192</v>
      </c>
      <c r="E112" s="54" t="s">
        <v>190</v>
      </c>
      <c r="F112" s="54" t="s">
        <v>180</v>
      </c>
      <c r="G112" s="34"/>
      <c r="H112" s="34"/>
      <c r="I112" s="34"/>
      <c r="J112" s="34"/>
      <c r="K112" s="34"/>
      <c r="L112" s="34"/>
      <c r="M112" s="34"/>
    </row>
    <row r="113" spans="1:13" ht="16.5" customHeight="1" x14ac:dyDescent="0.15">
      <c r="A113" s="55" t="s">
        <v>191</v>
      </c>
      <c r="B113" s="56" t="s">
        <v>72</v>
      </c>
      <c r="C113" s="56" t="s">
        <v>75</v>
      </c>
      <c r="D113" s="56" t="s">
        <v>71</v>
      </c>
      <c r="E113" s="56" t="s">
        <v>79</v>
      </c>
      <c r="F113" s="56" t="s">
        <v>94</v>
      </c>
      <c r="G113" s="34"/>
      <c r="H113" s="34"/>
      <c r="I113" s="34"/>
      <c r="J113" s="34"/>
      <c r="K113" s="34"/>
      <c r="L113" s="34"/>
      <c r="M113" s="34"/>
    </row>
    <row r="114" spans="1:13" ht="16.5" customHeight="1" x14ac:dyDescent="0.15">
      <c r="A114" s="75">
        <v>1</v>
      </c>
      <c r="B114" s="100" t="s">
        <v>222</v>
      </c>
      <c r="C114" s="58" t="s">
        <v>142</v>
      </c>
      <c r="D114" s="58" t="s">
        <v>217</v>
      </c>
      <c r="E114" s="58" t="s">
        <v>142</v>
      </c>
      <c r="F114" s="58" t="s">
        <v>217</v>
      </c>
      <c r="G114" s="34"/>
      <c r="H114" s="34"/>
      <c r="I114" s="34"/>
      <c r="J114" s="34"/>
      <c r="K114" s="34"/>
      <c r="L114" s="34"/>
      <c r="M114" s="34"/>
    </row>
    <row r="115" spans="1:13" ht="16.5" customHeight="1" x14ac:dyDescent="0.15">
      <c r="A115" s="72" t="s">
        <v>164</v>
      </c>
      <c r="B115" s="100"/>
      <c r="C115" s="62" t="s">
        <v>188</v>
      </c>
      <c r="D115" s="62" t="s">
        <v>177</v>
      </c>
      <c r="E115" s="62" t="s">
        <v>188</v>
      </c>
      <c r="F115" s="62" t="s">
        <v>177</v>
      </c>
      <c r="G115" s="34"/>
      <c r="H115" s="34"/>
      <c r="I115" s="34"/>
      <c r="J115" s="34"/>
      <c r="K115" s="34"/>
      <c r="L115" s="34"/>
      <c r="M115" s="34"/>
    </row>
    <row r="116" spans="1:13" ht="16.5" customHeight="1" x14ac:dyDescent="0.15">
      <c r="A116" s="75">
        <v>2</v>
      </c>
      <c r="B116" s="100"/>
      <c r="C116" s="58" t="s">
        <v>142</v>
      </c>
      <c r="D116" s="58" t="s">
        <v>217</v>
      </c>
      <c r="E116" s="58" t="s">
        <v>142</v>
      </c>
      <c r="F116" s="58" t="s">
        <v>217</v>
      </c>
      <c r="G116" s="34"/>
      <c r="H116" s="34"/>
      <c r="I116" s="34"/>
      <c r="J116" s="34"/>
      <c r="K116" s="34"/>
      <c r="L116" s="34"/>
      <c r="M116" s="34"/>
    </row>
    <row r="117" spans="1:13" ht="16.5" customHeight="1" x14ac:dyDescent="0.15">
      <c r="A117" s="72" t="s">
        <v>166</v>
      </c>
      <c r="B117" s="100"/>
      <c r="C117" s="62" t="s">
        <v>188</v>
      </c>
      <c r="D117" s="62" t="s">
        <v>177</v>
      </c>
      <c r="E117" s="62" t="s">
        <v>188</v>
      </c>
      <c r="F117" s="62" t="s">
        <v>177</v>
      </c>
      <c r="G117" s="34"/>
      <c r="H117" s="34"/>
      <c r="I117" s="34"/>
      <c r="J117" s="34"/>
      <c r="K117" s="34"/>
      <c r="L117" s="34"/>
      <c r="M117" s="34"/>
    </row>
    <row r="118" spans="1:13" ht="16.5" customHeight="1" x14ac:dyDescent="0.15">
      <c r="A118" s="75">
        <v>3</v>
      </c>
      <c r="B118" s="100"/>
      <c r="C118" s="58" t="s">
        <v>142</v>
      </c>
      <c r="D118" s="58" t="s">
        <v>217</v>
      </c>
      <c r="E118" s="58" t="s">
        <v>142</v>
      </c>
      <c r="F118" s="58" t="s">
        <v>217</v>
      </c>
      <c r="G118" s="34"/>
      <c r="H118" s="34"/>
      <c r="I118" s="34"/>
      <c r="J118" s="34"/>
      <c r="K118" s="34"/>
      <c r="L118" s="34"/>
      <c r="M118" s="34"/>
    </row>
    <row r="119" spans="1:13" ht="16.5" customHeight="1" x14ac:dyDescent="0.15">
      <c r="A119" s="72" t="s">
        <v>167</v>
      </c>
      <c r="B119" s="100"/>
      <c r="C119" s="62" t="s">
        <v>188</v>
      </c>
      <c r="D119" s="62" t="s">
        <v>177</v>
      </c>
      <c r="E119" s="62" t="s">
        <v>188</v>
      </c>
      <c r="F119" s="62" t="s">
        <v>177</v>
      </c>
      <c r="G119" s="34"/>
      <c r="H119" s="34"/>
      <c r="I119" s="34"/>
      <c r="J119" s="34"/>
      <c r="K119" s="34"/>
      <c r="L119" s="34"/>
      <c r="M119" s="34"/>
    </row>
    <row r="120" spans="1:13" ht="16.5" customHeight="1" x14ac:dyDescent="0.15">
      <c r="A120" s="75">
        <v>4</v>
      </c>
      <c r="B120" s="100"/>
      <c r="C120" s="58" t="s">
        <v>142</v>
      </c>
      <c r="D120" s="58" t="s">
        <v>217</v>
      </c>
      <c r="E120" s="58" t="s">
        <v>142</v>
      </c>
      <c r="F120" s="58" t="s">
        <v>217</v>
      </c>
      <c r="G120" s="34"/>
      <c r="H120" s="34"/>
      <c r="I120" s="34"/>
      <c r="J120" s="34"/>
      <c r="K120" s="34"/>
      <c r="L120" s="34"/>
      <c r="M120" s="34"/>
    </row>
    <row r="121" spans="1:13" ht="16.5" customHeight="1" x14ac:dyDescent="0.15">
      <c r="A121" s="72" t="s">
        <v>163</v>
      </c>
      <c r="B121" s="100"/>
      <c r="C121" s="62" t="s">
        <v>188</v>
      </c>
      <c r="D121" s="62" t="s">
        <v>177</v>
      </c>
      <c r="E121" s="62" t="s">
        <v>188</v>
      </c>
      <c r="F121" s="62" t="s">
        <v>177</v>
      </c>
      <c r="G121" s="34"/>
      <c r="H121" s="34"/>
      <c r="I121" s="34"/>
      <c r="J121" s="34"/>
      <c r="K121" s="34"/>
      <c r="L121" s="34"/>
      <c r="M121" s="34"/>
    </row>
    <row r="122" spans="1:13" ht="16.5" customHeight="1" x14ac:dyDescent="0.15">
      <c r="A122" s="75">
        <v>5</v>
      </c>
      <c r="B122" s="100"/>
      <c r="C122" s="58" t="s">
        <v>217</v>
      </c>
      <c r="D122" s="57" t="s">
        <v>162</v>
      </c>
      <c r="E122" s="58" t="s">
        <v>217</v>
      </c>
      <c r="F122" s="58" t="s">
        <v>162</v>
      </c>
      <c r="G122" s="34"/>
      <c r="H122" s="34"/>
      <c r="I122" s="34"/>
      <c r="J122" s="34"/>
      <c r="K122" s="34"/>
      <c r="L122" s="34"/>
      <c r="M122" s="34"/>
    </row>
    <row r="123" spans="1:13" ht="16.5" customHeight="1" x14ac:dyDescent="0.15">
      <c r="A123" s="72" t="s">
        <v>165</v>
      </c>
      <c r="B123" s="100"/>
      <c r="C123" s="62" t="s">
        <v>177</v>
      </c>
      <c r="D123" s="62" t="s">
        <v>178</v>
      </c>
      <c r="E123" s="62" t="s">
        <v>177</v>
      </c>
      <c r="F123" s="62" t="s">
        <v>178</v>
      </c>
      <c r="G123" s="34"/>
      <c r="H123" s="34"/>
      <c r="I123" s="34"/>
      <c r="J123" s="34"/>
      <c r="K123" s="34"/>
      <c r="L123" s="34"/>
      <c r="M123" s="34"/>
    </row>
    <row r="124" spans="1:13" ht="16.5" customHeight="1" x14ac:dyDescent="0.15">
      <c r="A124" s="75">
        <v>6</v>
      </c>
      <c r="B124" s="100"/>
      <c r="C124" s="58" t="s">
        <v>217</v>
      </c>
      <c r="D124" s="58" t="s">
        <v>162</v>
      </c>
      <c r="E124" s="58" t="s">
        <v>217</v>
      </c>
      <c r="F124" s="58" t="s">
        <v>162</v>
      </c>
      <c r="G124" s="34"/>
      <c r="H124" s="34"/>
      <c r="I124" s="34"/>
      <c r="J124" s="34"/>
      <c r="K124" s="34"/>
      <c r="L124" s="34"/>
      <c r="M124" s="34"/>
    </row>
    <row r="125" spans="1:13" ht="16.5" customHeight="1" x14ac:dyDescent="0.15">
      <c r="A125" s="72" t="s">
        <v>160</v>
      </c>
      <c r="B125" s="100"/>
      <c r="C125" s="62" t="s">
        <v>177</v>
      </c>
      <c r="D125" s="62" t="s">
        <v>178</v>
      </c>
      <c r="E125" s="62" t="s">
        <v>177</v>
      </c>
      <c r="F125" s="62" t="s">
        <v>178</v>
      </c>
      <c r="G125" s="34"/>
      <c r="H125" s="34"/>
      <c r="I125" s="34"/>
      <c r="J125" s="34"/>
      <c r="K125" s="34"/>
      <c r="L125" s="34"/>
      <c r="M125" s="34"/>
    </row>
    <row r="126" spans="1:13" ht="16.5" customHeight="1" x14ac:dyDescent="0.15">
      <c r="A126" s="75">
        <v>7</v>
      </c>
      <c r="B126" s="100"/>
      <c r="C126" s="58" t="s">
        <v>217</v>
      </c>
      <c r="D126" s="60" t="s">
        <v>162</v>
      </c>
      <c r="E126" s="58" t="s">
        <v>217</v>
      </c>
      <c r="F126" s="58" t="s">
        <v>162</v>
      </c>
      <c r="G126" s="34"/>
      <c r="H126" s="34"/>
      <c r="I126" s="34"/>
      <c r="J126" s="34"/>
      <c r="K126" s="34"/>
      <c r="L126" s="34"/>
      <c r="M126" s="34"/>
    </row>
    <row r="127" spans="1:13" ht="16.5" customHeight="1" x14ac:dyDescent="0.15">
      <c r="A127" s="72" t="s">
        <v>161</v>
      </c>
      <c r="B127" s="100"/>
      <c r="C127" s="62" t="s">
        <v>177</v>
      </c>
      <c r="D127" s="62" t="s">
        <v>178</v>
      </c>
      <c r="E127" s="62" t="s">
        <v>177</v>
      </c>
      <c r="F127" s="62" t="s">
        <v>178</v>
      </c>
      <c r="G127" s="34"/>
      <c r="H127" s="34"/>
      <c r="I127" s="34"/>
      <c r="J127" s="34"/>
      <c r="K127" s="34"/>
      <c r="L127" s="34"/>
      <c r="M127" s="34"/>
    </row>
    <row r="128" spans="1:13" ht="16.5" customHeight="1" x14ac:dyDescent="0.15">
      <c r="A128" s="75">
        <v>8</v>
      </c>
      <c r="B128" s="100"/>
      <c r="C128" s="58" t="s">
        <v>217</v>
      </c>
      <c r="D128" s="60" t="s">
        <v>162</v>
      </c>
      <c r="E128" s="58" t="s">
        <v>217</v>
      </c>
      <c r="F128" s="58" t="s">
        <v>162</v>
      </c>
      <c r="G128" s="34"/>
      <c r="H128" s="34"/>
      <c r="I128" s="34"/>
      <c r="J128" s="34"/>
      <c r="K128" s="34"/>
      <c r="L128" s="34"/>
      <c r="M128" s="34"/>
    </row>
    <row r="129" spans="1:13" ht="16.5" customHeight="1" x14ac:dyDescent="0.15">
      <c r="A129" s="72" t="s">
        <v>168</v>
      </c>
      <c r="B129" s="101"/>
      <c r="C129" s="62" t="s">
        <v>177</v>
      </c>
      <c r="D129" s="62" t="s">
        <v>178</v>
      </c>
      <c r="E129" s="62" t="s">
        <v>177</v>
      </c>
      <c r="F129" s="62" t="s">
        <v>178</v>
      </c>
      <c r="G129" s="34"/>
      <c r="H129" s="34"/>
      <c r="I129" s="34"/>
      <c r="J129" s="34"/>
      <c r="K129" s="34"/>
      <c r="L129" s="34"/>
      <c r="M129" s="34"/>
    </row>
    <row r="130" spans="1:13" ht="16.5" customHeight="1" x14ac:dyDescent="0.15">
      <c r="A130" s="79" t="s">
        <v>201</v>
      </c>
      <c r="B130" s="54" t="s">
        <v>189</v>
      </c>
      <c r="C130" s="76" t="s">
        <v>182</v>
      </c>
      <c r="D130" s="54" t="s">
        <v>192</v>
      </c>
      <c r="E130" s="54" t="s">
        <v>190</v>
      </c>
      <c r="F130" s="54" t="s">
        <v>180</v>
      </c>
      <c r="G130" s="34"/>
      <c r="H130" s="34"/>
      <c r="I130" s="34"/>
      <c r="J130" s="34"/>
      <c r="K130" s="34"/>
      <c r="L130" s="34"/>
      <c r="M130" s="34"/>
    </row>
    <row r="131" spans="1:13" ht="16.5" customHeight="1" x14ac:dyDescent="0.15">
      <c r="A131" s="80" t="s">
        <v>191</v>
      </c>
      <c r="B131" s="56" t="s">
        <v>97</v>
      </c>
      <c r="C131" s="77" t="s">
        <v>80</v>
      </c>
      <c r="D131" s="56" t="s">
        <v>87</v>
      </c>
      <c r="E131" s="56" t="s">
        <v>82</v>
      </c>
      <c r="F131" s="56" t="s">
        <v>96</v>
      </c>
      <c r="G131" s="34"/>
      <c r="H131" s="34"/>
      <c r="I131" s="34"/>
      <c r="J131" s="34"/>
      <c r="K131" s="34"/>
      <c r="L131" s="34"/>
      <c r="M131" s="34"/>
    </row>
    <row r="132" spans="1:13" ht="16.5" customHeight="1" x14ac:dyDescent="0.15">
      <c r="A132" s="81">
        <v>1</v>
      </c>
      <c r="B132" s="58" t="s">
        <v>162</v>
      </c>
      <c r="C132" s="73" t="s">
        <v>142</v>
      </c>
      <c r="D132" s="58" t="s">
        <v>162</v>
      </c>
      <c r="E132" s="58" t="s">
        <v>142</v>
      </c>
      <c r="F132" s="58" t="s">
        <v>142</v>
      </c>
      <c r="G132" s="34"/>
      <c r="H132" s="34"/>
      <c r="I132" s="34"/>
      <c r="J132" s="34"/>
      <c r="K132" s="34"/>
      <c r="L132" s="34"/>
      <c r="M132" s="34"/>
    </row>
    <row r="133" spans="1:13" ht="16.5" customHeight="1" x14ac:dyDescent="0.15">
      <c r="A133" s="82" t="s">
        <v>164</v>
      </c>
      <c r="B133" s="62" t="s">
        <v>178</v>
      </c>
      <c r="C133" s="69" t="s">
        <v>188</v>
      </c>
      <c r="D133" s="62" t="s">
        <v>178</v>
      </c>
      <c r="E133" s="62" t="s">
        <v>188</v>
      </c>
      <c r="F133" s="62" t="s">
        <v>188</v>
      </c>
      <c r="G133" s="34"/>
      <c r="H133" s="34"/>
      <c r="I133" s="34"/>
      <c r="J133" s="34"/>
      <c r="K133" s="34"/>
      <c r="L133" s="34"/>
      <c r="M133" s="34"/>
    </row>
    <row r="134" spans="1:13" ht="16.5" customHeight="1" x14ac:dyDescent="0.15">
      <c r="A134" s="81">
        <v>2</v>
      </c>
      <c r="B134" s="58" t="s">
        <v>162</v>
      </c>
      <c r="C134" s="73" t="s">
        <v>224</v>
      </c>
      <c r="D134" s="58" t="s">
        <v>162</v>
      </c>
      <c r="E134" s="58" t="s">
        <v>142</v>
      </c>
      <c r="F134" s="58" t="s">
        <v>142</v>
      </c>
      <c r="G134" s="34"/>
      <c r="H134" s="34"/>
      <c r="I134" s="34"/>
      <c r="J134" s="34"/>
      <c r="K134" s="34"/>
      <c r="L134" s="34"/>
      <c r="M134" s="34"/>
    </row>
    <row r="135" spans="1:13" ht="16.5" customHeight="1" thickBot="1" x14ac:dyDescent="0.2">
      <c r="A135" s="82" t="s">
        <v>166</v>
      </c>
      <c r="B135" s="86" t="s">
        <v>178</v>
      </c>
      <c r="C135" s="69" t="s">
        <v>188</v>
      </c>
      <c r="D135" s="62" t="s">
        <v>178</v>
      </c>
      <c r="E135" s="62" t="s">
        <v>188</v>
      </c>
      <c r="F135" s="62" t="s">
        <v>188</v>
      </c>
      <c r="G135" s="34"/>
      <c r="H135" s="34"/>
      <c r="I135" s="34"/>
      <c r="J135" s="34"/>
      <c r="K135" s="34"/>
      <c r="L135" s="34"/>
      <c r="M135" s="34"/>
    </row>
    <row r="136" spans="1:13" ht="16.5" customHeight="1" x14ac:dyDescent="0.15">
      <c r="A136" s="81">
        <v>3</v>
      </c>
      <c r="B136" s="93" t="s">
        <v>224</v>
      </c>
      <c r="C136" s="73" t="s">
        <v>142</v>
      </c>
      <c r="D136" s="58" t="s">
        <v>162</v>
      </c>
      <c r="E136" s="58" t="s">
        <v>142</v>
      </c>
      <c r="F136" s="58" t="s">
        <v>142</v>
      </c>
      <c r="G136" s="34"/>
      <c r="H136" s="34"/>
      <c r="I136" s="34"/>
      <c r="J136" s="34"/>
      <c r="K136" s="34"/>
      <c r="L136" s="34"/>
      <c r="M136" s="34"/>
    </row>
    <row r="137" spans="1:13" ht="16.5" customHeight="1" x14ac:dyDescent="0.15">
      <c r="A137" s="82" t="s">
        <v>167</v>
      </c>
      <c r="B137" s="84" t="s">
        <v>223</v>
      </c>
      <c r="C137" s="69" t="s">
        <v>188</v>
      </c>
      <c r="D137" s="62" t="s">
        <v>178</v>
      </c>
      <c r="E137" s="62" t="s">
        <v>188</v>
      </c>
      <c r="F137" s="62" t="s">
        <v>223</v>
      </c>
      <c r="G137" s="34"/>
      <c r="H137" s="34"/>
      <c r="I137" s="34"/>
      <c r="J137" s="34"/>
      <c r="K137" s="34"/>
      <c r="L137" s="34"/>
      <c r="M137" s="34"/>
    </row>
    <row r="138" spans="1:13" ht="16.5" customHeight="1" x14ac:dyDescent="0.15">
      <c r="A138" s="81">
        <v>4</v>
      </c>
      <c r="B138" s="83" t="s">
        <v>224</v>
      </c>
      <c r="C138" s="73" t="s">
        <v>142</v>
      </c>
      <c r="D138" s="58" t="s">
        <v>162</v>
      </c>
      <c r="E138" s="58" t="s">
        <v>142</v>
      </c>
      <c r="F138" s="58" t="s">
        <v>142</v>
      </c>
      <c r="G138" s="34"/>
      <c r="H138" s="34"/>
      <c r="I138" s="34"/>
      <c r="J138" s="34"/>
      <c r="K138" s="34"/>
      <c r="L138" s="34"/>
      <c r="M138" s="34"/>
    </row>
    <row r="139" spans="1:13" ht="16.5" customHeight="1" thickBot="1" x14ac:dyDescent="0.2">
      <c r="A139" s="82" t="s">
        <v>163</v>
      </c>
      <c r="B139" s="85" t="s">
        <v>223</v>
      </c>
      <c r="C139" s="69" t="s">
        <v>188</v>
      </c>
      <c r="D139" s="62" t="s">
        <v>178</v>
      </c>
      <c r="E139" s="62" t="s">
        <v>188</v>
      </c>
      <c r="F139" s="62" t="s">
        <v>188</v>
      </c>
      <c r="G139" s="34"/>
      <c r="H139" s="34"/>
      <c r="I139" s="34"/>
      <c r="J139" s="34"/>
      <c r="K139" s="34"/>
      <c r="L139" s="34"/>
      <c r="M139" s="34"/>
    </row>
    <row r="140" spans="1:13" ht="16.5" customHeight="1" x14ac:dyDescent="0.15">
      <c r="A140" s="75">
        <v>5</v>
      </c>
      <c r="B140" s="78" t="s">
        <v>217</v>
      </c>
      <c r="C140" s="58" t="s">
        <v>217</v>
      </c>
      <c r="D140" s="58" t="s">
        <v>217</v>
      </c>
      <c r="E140" s="58" t="s">
        <v>217</v>
      </c>
      <c r="F140" s="58" t="s">
        <v>162</v>
      </c>
      <c r="G140" s="34"/>
      <c r="H140" s="34"/>
      <c r="I140" s="34"/>
      <c r="J140" s="34"/>
      <c r="K140" s="34"/>
      <c r="L140" s="34"/>
      <c r="M140" s="34"/>
    </row>
    <row r="141" spans="1:13" ht="16.5" customHeight="1" x14ac:dyDescent="0.15">
      <c r="A141" s="72" t="s">
        <v>165</v>
      </c>
      <c r="B141" s="62" t="s">
        <v>177</v>
      </c>
      <c r="C141" s="62" t="s">
        <v>177</v>
      </c>
      <c r="D141" s="62" t="s">
        <v>177</v>
      </c>
      <c r="E141" s="62" t="s">
        <v>177</v>
      </c>
      <c r="F141" s="62" t="s">
        <v>178</v>
      </c>
      <c r="G141" s="34"/>
      <c r="H141" s="34"/>
      <c r="I141" s="34"/>
      <c r="J141" s="34"/>
      <c r="K141" s="34"/>
      <c r="L141" s="34"/>
      <c r="M141" s="34"/>
    </row>
    <row r="142" spans="1:13" ht="16.5" customHeight="1" x14ac:dyDescent="0.15">
      <c r="A142" s="75">
        <v>6</v>
      </c>
      <c r="B142" s="58" t="s">
        <v>217</v>
      </c>
      <c r="C142" s="58" t="s">
        <v>217</v>
      </c>
      <c r="D142" s="58" t="s">
        <v>217</v>
      </c>
      <c r="E142" s="58" t="s">
        <v>217</v>
      </c>
      <c r="F142" s="58" t="s">
        <v>162</v>
      </c>
      <c r="G142" s="34"/>
      <c r="H142" s="34"/>
      <c r="I142" s="34"/>
      <c r="J142" s="34"/>
      <c r="K142" s="34"/>
      <c r="L142" s="34"/>
      <c r="M142" s="34"/>
    </row>
    <row r="143" spans="1:13" ht="16.5" customHeight="1" x14ac:dyDescent="0.15">
      <c r="A143" s="72" t="s">
        <v>160</v>
      </c>
      <c r="B143" s="62" t="s">
        <v>177</v>
      </c>
      <c r="C143" s="62" t="s">
        <v>177</v>
      </c>
      <c r="D143" s="62" t="s">
        <v>177</v>
      </c>
      <c r="E143" s="62" t="s">
        <v>177</v>
      </c>
      <c r="F143" s="62" t="s">
        <v>178</v>
      </c>
      <c r="G143" s="34"/>
      <c r="H143" s="34"/>
      <c r="I143" s="34"/>
      <c r="J143" s="34"/>
      <c r="K143" s="34"/>
      <c r="L143" s="34"/>
      <c r="M143" s="34"/>
    </row>
    <row r="144" spans="1:13" ht="16.5" customHeight="1" x14ac:dyDescent="0.15">
      <c r="A144" s="75">
        <v>7</v>
      </c>
      <c r="B144" s="58" t="s">
        <v>217</v>
      </c>
      <c r="C144" s="58" t="s">
        <v>217</v>
      </c>
      <c r="D144" s="58" t="s">
        <v>217</v>
      </c>
      <c r="E144" s="58" t="s">
        <v>217</v>
      </c>
      <c r="F144" s="58" t="s">
        <v>162</v>
      </c>
      <c r="G144" s="34"/>
      <c r="H144" s="34"/>
      <c r="I144" s="34"/>
      <c r="J144" s="34"/>
      <c r="K144" s="34"/>
      <c r="L144" s="34"/>
      <c r="M144" s="34"/>
    </row>
    <row r="145" spans="1:13" ht="16.5" customHeight="1" x14ac:dyDescent="0.15">
      <c r="A145" s="72" t="s">
        <v>161</v>
      </c>
      <c r="B145" s="62" t="s">
        <v>177</v>
      </c>
      <c r="C145" s="62" t="s">
        <v>177</v>
      </c>
      <c r="D145" s="62" t="s">
        <v>177</v>
      </c>
      <c r="E145" s="62" t="s">
        <v>177</v>
      </c>
      <c r="F145" s="62" t="s">
        <v>178</v>
      </c>
      <c r="G145" s="34"/>
      <c r="H145" s="34"/>
      <c r="I145" s="34"/>
      <c r="J145" s="34"/>
      <c r="K145" s="34"/>
      <c r="L145" s="34"/>
      <c r="M145" s="34"/>
    </row>
    <row r="146" spans="1:13" ht="16.5" customHeight="1" x14ac:dyDescent="0.15">
      <c r="A146" s="75">
        <v>8</v>
      </c>
      <c r="B146" s="58" t="s">
        <v>217</v>
      </c>
      <c r="C146" s="58" t="s">
        <v>217</v>
      </c>
      <c r="D146" s="58" t="s">
        <v>217</v>
      </c>
      <c r="E146" s="58" t="s">
        <v>217</v>
      </c>
      <c r="F146" s="58" t="s">
        <v>162</v>
      </c>
      <c r="G146" s="34"/>
      <c r="H146" s="34"/>
      <c r="I146" s="34"/>
      <c r="J146" s="34"/>
      <c r="K146" s="34"/>
      <c r="L146" s="34"/>
      <c r="M146" s="34"/>
    </row>
    <row r="147" spans="1:13" ht="16.5" customHeight="1" x14ac:dyDescent="0.15">
      <c r="A147" s="72" t="s">
        <v>168</v>
      </c>
      <c r="B147" s="62" t="s">
        <v>177</v>
      </c>
      <c r="C147" s="62" t="s">
        <v>177</v>
      </c>
      <c r="D147" s="62" t="s">
        <v>177</v>
      </c>
      <c r="E147" s="62" t="s">
        <v>177</v>
      </c>
      <c r="F147" s="62" t="s">
        <v>178</v>
      </c>
      <c r="G147" s="34"/>
      <c r="H147" s="34"/>
      <c r="I147" s="34"/>
      <c r="J147" s="34"/>
      <c r="K147" s="34"/>
      <c r="L147" s="34"/>
      <c r="M147" s="34"/>
    </row>
    <row r="148" spans="1:13" ht="16.5" customHeight="1" x14ac:dyDescent="0.15">
      <c r="A148" s="54" t="s">
        <v>207</v>
      </c>
      <c r="B148" s="54" t="s">
        <v>189</v>
      </c>
      <c r="C148" s="54" t="s">
        <v>182</v>
      </c>
      <c r="D148" s="54" t="s">
        <v>192</v>
      </c>
      <c r="E148" s="54" t="s">
        <v>190</v>
      </c>
      <c r="F148" s="54" t="s">
        <v>180</v>
      </c>
      <c r="G148" s="34"/>
      <c r="H148" s="34"/>
      <c r="I148" s="34"/>
      <c r="J148" s="34"/>
      <c r="K148" s="34"/>
      <c r="L148" s="34"/>
      <c r="M148" s="34"/>
    </row>
    <row r="149" spans="1:13" ht="16.5" customHeight="1" x14ac:dyDescent="0.15">
      <c r="A149" s="55" t="s">
        <v>191</v>
      </c>
      <c r="B149" s="56" t="s">
        <v>88</v>
      </c>
      <c r="C149" s="56" t="s">
        <v>98</v>
      </c>
      <c r="D149" s="56" t="s">
        <v>83</v>
      </c>
      <c r="E149" s="68" t="s">
        <v>85</v>
      </c>
      <c r="F149" s="68" t="s">
        <v>91</v>
      </c>
      <c r="G149" s="34"/>
      <c r="H149" s="34"/>
      <c r="I149" s="34"/>
      <c r="J149" s="34"/>
      <c r="K149" s="34"/>
      <c r="L149" s="34"/>
      <c r="M149" s="34"/>
    </row>
    <row r="150" spans="1:13" ht="16.5" customHeight="1" x14ac:dyDescent="0.15">
      <c r="A150" s="75">
        <v>1</v>
      </c>
      <c r="B150" s="100" t="s">
        <v>155</v>
      </c>
      <c r="C150" s="58" t="s">
        <v>142</v>
      </c>
      <c r="D150" s="58" t="s">
        <v>162</v>
      </c>
      <c r="E150" s="58" t="s">
        <v>217</v>
      </c>
      <c r="F150" s="58" t="s">
        <v>162</v>
      </c>
      <c r="G150" s="34"/>
      <c r="H150" s="34"/>
      <c r="I150" s="34"/>
      <c r="J150" s="34"/>
      <c r="K150" s="34"/>
      <c r="L150" s="34"/>
      <c r="M150" s="34"/>
    </row>
    <row r="151" spans="1:13" ht="16.5" customHeight="1" x14ac:dyDescent="0.15">
      <c r="A151" s="72" t="s">
        <v>164</v>
      </c>
      <c r="B151" s="100"/>
      <c r="C151" s="62" t="s">
        <v>188</v>
      </c>
      <c r="D151" s="62" t="s">
        <v>178</v>
      </c>
      <c r="E151" s="62" t="s">
        <v>177</v>
      </c>
      <c r="F151" s="62" t="s">
        <v>178</v>
      </c>
      <c r="G151" s="34"/>
      <c r="H151" s="34"/>
      <c r="I151" s="34"/>
      <c r="J151" s="34"/>
      <c r="K151" s="34"/>
      <c r="L151" s="34"/>
      <c r="M151" s="34"/>
    </row>
    <row r="152" spans="1:13" ht="16.5" customHeight="1" x14ac:dyDescent="0.15">
      <c r="A152" s="75">
        <v>2</v>
      </c>
      <c r="B152" s="100"/>
      <c r="C152" s="58" t="s">
        <v>142</v>
      </c>
      <c r="D152" s="58" t="s">
        <v>162</v>
      </c>
      <c r="E152" s="58" t="s">
        <v>217</v>
      </c>
      <c r="F152" s="58" t="s">
        <v>162</v>
      </c>
      <c r="G152" s="34"/>
      <c r="H152" s="34"/>
      <c r="I152" s="34"/>
      <c r="J152" s="34"/>
      <c r="K152" s="34"/>
      <c r="L152" s="34"/>
      <c r="M152" s="34"/>
    </row>
    <row r="153" spans="1:13" ht="16.5" customHeight="1" thickBot="1" x14ac:dyDescent="0.2">
      <c r="A153" s="72" t="s">
        <v>166</v>
      </c>
      <c r="B153" s="100"/>
      <c r="C153" s="86" t="s">
        <v>188</v>
      </c>
      <c r="D153" s="62" t="s">
        <v>178</v>
      </c>
      <c r="E153" s="62" t="s">
        <v>177</v>
      </c>
      <c r="F153" s="62" t="s">
        <v>178</v>
      </c>
      <c r="G153" s="34"/>
      <c r="H153" s="34"/>
      <c r="I153" s="34"/>
      <c r="J153" s="34"/>
      <c r="K153" s="34"/>
      <c r="L153" s="34"/>
      <c r="M153" s="34"/>
    </row>
    <row r="154" spans="1:13" ht="16.5" customHeight="1" x14ac:dyDescent="0.15">
      <c r="A154" s="75">
        <v>3</v>
      </c>
      <c r="B154" s="102"/>
      <c r="C154" s="87" t="s">
        <v>225</v>
      </c>
      <c r="D154" s="73" t="s">
        <v>162</v>
      </c>
      <c r="E154" s="58" t="s">
        <v>217</v>
      </c>
      <c r="F154" s="58" t="s">
        <v>162</v>
      </c>
      <c r="G154" s="34"/>
      <c r="H154" s="34"/>
      <c r="I154" s="34"/>
      <c r="J154" s="34"/>
      <c r="K154" s="34"/>
      <c r="L154" s="34"/>
      <c r="M154" s="34"/>
    </row>
    <row r="155" spans="1:13" ht="16.5" customHeight="1" x14ac:dyDescent="0.15">
      <c r="A155" s="72" t="s">
        <v>167</v>
      </c>
      <c r="B155" s="102"/>
      <c r="C155" s="84" t="s">
        <v>188</v>
      </c>
      <c r="D155" s="69" t="s">
        <v>178</v>
      </c>
      <c r="E155" s="62" t="s">
        <v>177</v>
      </c>
      <c r="F155" s="62" t="s">
        <v>178</v>
      </c>
      <c r="G155" s="34"/>
      <c r="H155" s="34"/>
      <c r="I155" s="34"/>
      <c r="J155" s="34"/>
      <c r="K155" s="34"/>
      <c r="L155" s="34"/>
      <c r="M155" s="34"/>
    </row>
    <row r="156" spans="1:13" ht="16.5" customHeight="1" x14ac:dyDescent="0.15">
      <c r="A156" s="75">
        <v>4</v>
      </c>
      <c r="B156" s="102"/>
      <c r="C156" s="88" t="s">
        <v>225</v>
      </c>
      <c r="D156" s="73" t="s">
        <v>162</v>
      </c>
      <c r="E156" s="58" t="s">
        <v>217</v>
      </c>
      <c r="F156" s="58" t="s">
        <v>162</v>
      </c>
      <c r="G156" s="34"/>
      <c r="H156" s="34"/>
      <c r="I156" s="34"/>
      <c r="J156" s="34"/>
      <c r="K156" s="34"/>
      <c r="L156" s="34"/>
      <c r="M156" s="34"/>
    </row>
    <row r="157" spans="1:13" ht="16.5" customHeight="1" thickBot="1" x14ac:dyDescent="0.2">
      <c r="A157" s="72" t="s">
        <v>163</v>
      </c>
      <c r="B157" s="102"/>
      <c r="C157" s="85" t="s">
        <v>188</v>
      </c>
      <c r="D157" s="69" t="s">
        <v>178</v>
      </c>
      <c r="E157" s="62" t="s">
        <v>177</v>
      </c>
      <c r="F157" s="62" t="s">
        <v>178</v>
      </c>
      <c r="G157" s="34"/>
      <c r="H157" s="34"/>
      <c r="I157" s="34"/>
      <c r="J157" s="34"/>
      <c r="K157" s="34"/>
      <c r="L157" s="34"/>
      <c r="M157" s="34"/>
    </row>
    <row r="158" spans="1:13" ht="16.5" customHeight="1" x14ac:dyDescent="0.15">
      <c r="A158" s="75">
        <v>5</v>
      </c>
      <c r="B158" s="100"/>
      <c r="C158" s="78" t="s">
        <v>217</v>
      </c>
      <c r="D158" s="58" t="s">
        <v>217</v>
      </c>
      <c r="E158" s="59" t="s">
        <v>216</v>
      </c>
      <c r="F158" s="59" t="s">
        <v>216</v>
      </c>
      <c r="G158" s="34"/>
      <c r="H158" s="34"/>
      <c r="I158" s="34"/>
      <c r="J158" s="34"/>
      <c r="K158" s="34"/>
      <c r="L158" s="34"/>
      <c r="M158" s="34"/>
    </row>
    <row r="159" spans="1:13" ht="16.5" customHeight="1" x14ac:dyDescent="0.15">
      <c r="A159" s="72" t="s">
        <v>165</v>
      </c>
      <c r="B159" s="100"/>
      <c r="C159" s="62" t="s">
        <v>177</v>
      </c>
      <c r="D159" s="62" t="s">
        <v>177</v>
      </c>
      <c r="E159" s="62" t="s">
        <v>187</v>
      </c>
      <c r="F159" s="62" t="s">
        <v>187</v>
      </c>
      <c r="G159" s="34"/>
      <c r="H159" s="34"/>
      <c r="I159" s="34"/>
      <c r="J159" s="34"/>
      <c r="K159" s="34"/>
      <c r="L159" s="34"/>
      <c r="M159" s="34"/>
    </row>
    <row r="160" spans="1:13" ht="16.5" customHeight="1" x14ac:dyDescent="0.15">
      <c r="A160" s="75">
        <v>6</v>
      </c>
      <c r="B160" s="100"/>
      <c r="C160" s="58" t="s">
        <v>217</v>
      </c>
      <c r="D160" s="58" t="s">
        <v>217</v>
      </c>
      <c r="E160" s="59" t="s">
        <v>216</v>
      </c>
      <c r="F160" s="59" t="s">
        <v>216</v>
      </c>
      <c r="G160" s="34"/>
      <c r="H160" s="34"/>
      <c r="I160" s="34"/>
      <c r="J160" s="34"/>
      <c r="K160" s="34"/>
      <c r="L160" s="34"/>
      <c r="M160" s="34"/>
    </row>
    <row r="161" spans="1:13" ht="16.5" customHeight="1" x14ac:dyDescent="0.15">
      <c r="A161" s="72" t="s">
        <v>160</v>
      </c>
      <c r="B161" s="100"/>
      <c r="C161" s="62" t="s">
        <v>177</v>
      </c>
      <c r="D161" s="62" t="s">
        <v>177</v>
      </c>
      <c r="E161" s="62" t="s">
        <v>187</v>
      </c>
      <c r="F161" s="62" t="s">
        <v>187</v>
      </c>
      <c r="G161" s="34"/>
      <c r="H161" s="34"/>
      <c r="I161" s="34"/>
      <c r="J161" s="34"/>
      <c r="K161" s="34"/>
      <c r="L161" s="34"/>
      <c r="M161" s="34"/>
    </row>
    <row r="162" spans="1:13" ht="16.5" customHeight="1" x14ac:dyDescent="0.15">
      <c r="A162" s="75">
        <v>7</v>
      </c>
      <c r="B162" s="100"/>
      <c r="C162" s="58" t="s">
        <v>217</v>
      </c>
      <c r="D162" s="58" t="s">
        <v>217</v>
      </c>
      <c r="E162" s="59" t="s">
        <v>216</v>
      </c>
      <c r="F162" s="59" t="s">
        <v>216</v>
      </c>
      <c r="G162" s="34"/>
      <c r="H162" s="34"/>
      <c r="I162" s="34"/>
      <c r="J162" s="34"/>
      <c r="K162" s="34"/>
      <c r="L162" s="34"/>
      <c r="M162" s="34"/>
    </row>
    <row r="163" spans="1:13" ht="16.5" customHeight="1" x14ac:dyDescent="0.15">
      <c r="A163" s="72" t="s">
        <v>161</v>
      </c>
      <c r="B163" s="100"/>
      <c r="C163" s="62" t="s">
        <v>177</v>
      </c>
      <c r="D163" s="62" t="s">
        <v>177</v>
      </c>
      <c r="E163" s="62" t="s">
        <v>187</v>
      </c>
      <c r="F163" s="62" t="s">
        <v>187</v>
      </c>
      <c r="G163" s="34"/>
      <c r="H163" s="34"/>
      <c r="I163" s="34"/>
      <c r="J163" s="34"/>
      <c r="K163" s="34"/>
      <c r="L163" s="34"/>
      <c r="M163" s="34"/>
    </row>
    <row r="164" spans="1:13" ht="16.5" customHeight="1" x14ac:dyDescent="0.15">
      <c r="A164" s="75">
        <v>8</v>
      </c>
      <c r="B164" s="100"/>
      <c r="C164" s="58" t="s">
        <v>217</v>
      </c>
      <c r="D164" s="58" t="s">
        <v>217</v>
      </c>
      <c r="E164" s="59" t="s">
        <v>216</v>
      </c>
      <c r="F164" s="59" t="s">
        <v>216</v>
      </c>
      <c r="G164" s="34"/>
      <c r="H164" s="34"/>
      <c r="I164" s="34"/>
      <c r="J164" s="34"/>
      <c r="K164" s="34"/>
      <c r="L164" s="34"/>
      <c r="M164" s="34"/>
    </row>
    <row r="165" spans="1:13" ht="16.5" customHeight="1" x14ac:dyDescent="0.15">
      <c r="A165" s="72" t="s">
        <v>168</v>
      </c>
      <c r="B165" s="100"/>
      <c r="C165" s="62" t="s">
        <v>177</v>
      </c>
      <c r="D165" s="62" t="s">
        <v>177</v>
      </c>
      <c r="E165" s="62" t="s">
        <v>187</v>
      </c>
      <c r="F165" s="62" t="s">
        <v>187</v>
      </c>
      <c r="G165" s="34"/>
      <c r="H165" s="34"/>
      <c r="I165" s="34"/>
      <c r="J165" s="34"/>
      <c r="K165" s="34"/>
      <c r="L165" s="34"/>
      <c r="M165" s="34"/>
    </row>
    <row r="166" spans="1:13" ht="16.5" customHeight="1" x14ac:dyDescent="0.15">
      <c r="A166" s="54" t="s">
        <v>134</v>
      </c>
      <c r="B166" s="54" t="s">
        <v>189</v>
      </c>
      <c r="C166" s="54" t="s">
        <v>182</v>
      </c>
      <c r="D166" s="54" t="s">
        <v>192</v>
      </c>
      <c r="E166" s="65" t="s">
        <v>190</v>
      </c>
      <c r="F166" s="65" t="s">
        <v>180</v>
      </c>
      <c r="G166" s="34"/>
      <c r="H166" s="34"/>
      <c r="I166" s="34"/>
      <c r="J166" s="34"/>
      <c r="K166" s="34"/>
      <c r="L166" s="34"/>
      <c r="M166" s="34"/>
    </row>
    <row r="167" spans="1:13" ht="16.5" customHeight="1" x14ac:dyDescent="0.15">
      <c r="A167" s="55" t="s">
        <v>191</v>
      </c>
      <c r="B167" s="56" t="s">
        <v>89</v>
      </c>
      <c r="C167" s="56" t="s">
        <v>90</v>
      </c>
      <c r="D167" s="56" t="s">
        <v>92</v>
      </c>
      <c r="E167" s="68" t="s">
        <v>2</v>
      </c>
      <c r="F167" s="68" t="s">
        <v>4</v>
      </c>
      <c r="G167" s="34"/>
      <c r="H167" s="34"/>
      <c r="I167" s="34"/>
      <c r="J167" s="34"/>
      <c r="K167" s="34"/>
      <c r="L167" s="34"/>
      <c r="M167" s="34"/>
    </row>
    <row r="168" spans="1:13" ht="16.5" customHeight="1" x14ac:dyDescent="0.15">
      <c r="A168" s="75">
        <v>1</v>
      </c>
      <c r="B168" s="58" t="s">
        <v>162</v>
      </c>
      <c r="C168" s="100" t="s">
        <v>213</v>
      </c>
      <c r="D168" s="66" t="s">
        <v>162</v>
      </c>
      <c r="E168" s="59" t="s">
        <v>169</v>
      </c>
      <c r="F168" s="59" t="s">
        <v>169</v>
      </c>
      <c r="G168" s="34"/>
      <c r="H168" s="34"/>
      <c r="I168" s="34"/>
      <c r="J168" s="34"/>
      <c r="K168" s="34"/>
      <c r="L168" s="34"/>
      <c r="M168" s="34"/>
    </row>
    <row r="169" spans="1:13" ht="16.5" customHeight="1" x14ac:dyDescent="0.15">
      <c r="A169" s="72" t="s">
        <v>164</v>
      </c>
      <c r="B169" s="62" t="s">
        <v>178</v>
      </c>
      <c r="C169" s="100"/>
      <c r="D169" s="67" t="s">
        <v>178</v>
      </c>
      <c r="E169" s="62" t="s">
        <v>177</v>
      </c>
      <c r="F169" s="62" t="s">
        <v>177</v>
      </c>
      <c r="G169" s="34"/>
      <c r="H169" s="34"/>
      <c r="I169" s="34"/>
      <c r="J169" s="34"/>
      <c r="K169" s="34"/>
      <c r="L169" s="34"/>
      <c r="M169" s="34"/>
    </row>
    <row r="170" spans="1:13" ht="16.5" customHeight="1" x14ac:dyDescent="0.15">
      <c r="A170" s="75">
        <v>2</v>
      </c>
      <c r="B170" s="58" t="s">
        <v>162</v>
      </c>
      <c r="C170" s="100"/>
      <c r="D170" s="66" t="s">
        <v>162</v>
      </c>
      <c r="E170" s="59" t="s">
        <v>169</v>
      </c>
      <c r="F170" s="59" t="s">
        <v>169</v>
      </c>
      <c r="G170" s="34"/>
      <c r="H170" s="34"/>
      <c r="I170" s="34"/>
      <c r="J170" s="34"/>
      <c r="K170" s="34"/>
      <c r="L170" s="34"/>
      <c r="M170" s="34"/>
    </row>
    <row r="171" spans="1:13" ht="16.5" customHeight="1" x14ac:dyDescent="0.15">
      <c r="A171" s="72" t="s">
        <v>166</v>
      </c>
      <c r="B171" s="62" t="s">
        <v>178</v>
      </c>
      <c r="C171" s="100"/>
      <c r="D171" s="67" t="s">
        <v>178</v>
      </c>
      <c r="E171" s="62" t="s">
        <v>177</v>
      </c>
      <c r="F171" s="62" t="s">
        <v>177</v>
      </c>
      <c r="G171" s="34"/>
      <c r="H171" s="34"/>
      <c r="I171" s="34"/>
      <c r="J171" s="34"/>
      <c r="K171" s="34"/>
      <c r="L171" s="34"/>
      <c r="M171" s="34"/>
    </row>
    <row r="172" spans="1:13" ht="16.5" customHeight="1" x14ac:dyDescent="0.15">
      <c r="A172" s="75">
        <v>3</v>
      </c>
      <c r="B172" s="58" t="s">
        <v>162</v>
      </c>
      <c r="C172" s="100"/>
      <c r="D172" s="66" t="s">
        <v>162</v>
      </c>
      <c r="E172" s="59" t="s">
        <v>216</v>
      </c>
      <c r="F172" s="59" t="s">
        <v>169</v>
      </c>
      <c r="G172" s="34"/>
      <c r="H172" s="34"/>
      <c r="I172" s="34"/>
      <c r="J172" s="34"/>
      <c r="K172" s="34"/>
      <c r="L172" s="34"/>
      <c r="M172" s="34"/>
    </row>
    <row r="173" spans="1:13" ht="16.5" customHeight="1" x14ac:dyDescent="0.15">
      <c r="A173" s="72" t="s">
        <v>167</v>
      </c>
      <c r="B173" s="62" t="s">
        <v>178</v>
      </c>
      <c r="C173" s="100"/>
      <c r="D173" s="67" t="s">
        <v>178</v>
      </c>
      <c r="E173" s="62" t="s">
        <v>187</v>
      </c>
      <c r="F173" s="62" t="s">
        <v>177</v>
      </c>
      <c r="G173" s="34"/>
      <c r="H173" s="34"/>
      <c r="I173" s="34"/>
      <c r="J173" s="34"/>
      <c r="K173" s="34"/>
      <c r="L173" s="34"/>
      <c r="M173" s="34"/>
    </row>
    <row r="174" spans="1:13" ht="16.5" customHeight="1" x14ac:dyDescent="0.15">
      <c r="A174" s="75">
        <v>4</v>
      </c>
      <c r="B174" s="58" t="s">
        <v>162</v>
      </c>
      <c r="C174" s="100"/>
      <c r="D174" s="66" t="s">
        <v>162</v>
      </c>
      <c r="E174" s="59" t="s">
        <v>216</v>
      </c>
      <c r="F174" s="59" t="s">
        <v>169</v>
      </c>
      <c r="G174" s="34"/>
      <c r="H174" s="34"/>
      <c r="I174" s="34"/>
      <c r="J174" s="34"/>
      <c r="K174" s="34"/>
      <c r="L174" s="34"/>
      <c r="M174" s="34"/>
    </row>
    <row r="175" spans="1:13" ht="16.5" customHeight="1" x14ac:dyDescent="0.15">
      <c r="A175" s="72" t="s">
        <v>163</v>
      </c>
      <c r="B175" s="62" t="s">
        <v>178</v>
      </c>
      <c r="C175" s="100"/>
      <c r="D175" s="67" t="s">
        <v>178</v>
      </c>
      <c r="E175" s="62" t="s">
        <v>187</v>
      </c>
      <c r="F175" s="62" t="s">
        <v>177</v>
      </c>
      <c r="G175" s="34"/>
      <c r="H175" s="34"/>
      <c r="I175" s="34"/>
      <c r="J175" s="34"/>
      <c r="K175" s="34"/>
      <c r="L175" s="34"/>
      <c r="M175" s="34"/>
    </row>
    <row r="176" spans="1:13" ht="16.5" customHeight="1" x14ac:dyDescent="0.15">
      <c r="A176" s="75">
        <v>5</v>
      </c>
      <c r="B176" s="59" t="s">
        <v>216</v>
      </c>
      <c r="C176" s="100"/>
      <c r="D176" s="64" t="s">
        <v>169</v>
      </c>
      <c r="E176" s="59" t="s">
        <v>216</v>
      </c>
      <c r="F176" s="59" t="s">
        <v>216</v>
      </c>
      <c r="G176" s="34"/>
      <c r="H176" s="34"/>
      <c r="I176" s="34"/>
      <c r="J176" s="34"/>
      <c r="K176" s="34"/>
      <c r="L176" s="34"/>
      <c r="M176" s="34"/>
    </row>
    <row r="177" spans="1:13" ht="16.5" customHeight="1" x14ac:dyDescent="0.15">
      <c r="A177" s="72" t="s">
        <v>165</v>
      </c>
      <c r="B177" s="62" t="s">
        <v>187</v>
      </c>
      <c r="C177" s="100"/>
      <c r="D177" s="67" t="s">
        <v>177</v>
      </c>
      <c r="E177" s="62" t="s">
        <v>187</v>
      </c>
      <c r="F177" s="62" t="s">
        <v>187</v>
      </c>
      <c r="G177" s="34"/>
      <c r="H177" s="34"/>
      <c r="I177" s="34"/>
      <c r="J177" s="34"/>
      <c r="K177" s="34"/>
      <c r="L177" s="34"/>
      <c r="M177" s="34"/>
    </row>
    <row r="178" spans="1:13" ht="16.5" customHeight="1" x14ac:dyDescent="0.15">
      <c r="A178" s="75">
        <v>6</v>
      </c>
      <c r="B178" s="59" t="s">
        <v>216</v>
      </c>
      <c r="C178" s="100"/>
      <c r="D178" s="64" t="s">
        <v>169</v>
      </c>
      <c r="E178" s="59" t="s">
        <v>216</v>
      </c>
      <c r="F178" s="59" t="s">
        <v>216</v>
      </c>
      <c r="G178" s="34"/>
      <c r="H178" s="34"/>
      <c r="I178" s="34"/>
      <c r="J178" s="34"/>
      <c r="K178" s="34"/>
      <c r="L178" s="34"/>
      <c r="M178" s="34"/>
    </row>
    <row r="179" spans="1:13" ht="16.5" customHeight="1" x14ac:dyDescent="0.15">
      <c r="A179" s="72" t="s">
        <v>160</v>
      </c>
      <c r="B179" s="62" t="s">
        <v>187</v>
      </c>
      <c r="C179" s="100"/>
      <c r="D179" s="67" t="s">
        <v>177</v>
      </c>
      <c r="E179" s="62" t="s">
        <v>187</v>
      </c>
      <c r="F179" s="62" t="s">
        <v>187</v>
      </c>
      <c r="G179" s="34"/>
      <c r="H179" s="34"/>
      <c r="I179" s="34"/>
      <c r="J179" s="34"/>
      <c r="K179" s="34"/>
      <c r="L179" s="34"/>
      <c r="M179" s="34"/>
    </row>
    <row r="180" spans="1:13" ht="16.5" customHeight="1" x14ac:dyDescent="0.15">
      <c r="A180" s="75">
        <v>7</v>
      </c>
      <c r="B180" s="59" t="s">
        <v>216</v>
      </c>
      <c r="C180" s="100"/>
      <c r="D180" s="64" t="s">
        <v>169</v>
      </c>
      <c r="E180" s="59" t="s">
        <v>216</v>
      </c>
      <c r="F180" s="59" t="s">
        <v>216</v>
      </c>
      <c r="G180" s="34"/>
      <c r="H180" s="34"/>
      <c r="I180" s="34"/>
      <c r="J180" s="34"/>
      <c r="K180" s="34"/>
      <c r="L180" s="34"/>
      <c r="M180" s="34"/>
    </row>
    <row r="181" spans="1:13" ht="16.5" customHeight="1" x14ac:dyDescent="0.15">
      <c r="A181" s="72" t="s">
        <v>161</v>
      </c>
      <c r="B181" s="62" t="s">
        <v>187</v>
      </c>
      <c r="C181" s="100"/>
      <c r="D181" s="67" t="s">
        <v>177</v>
      </c>
      <c r="E181" s="62" t="s">
        <v>187</v>
      </c>
      <c r="F181" s="62" t="s">
        <v>187</v>
      </c>
      <c r="G181" s="34"/>
      <c r="H181" s="34"/>
      <c r="I181" s="34"/>
      <c r="J181" s="34"/>
      <c r="K181" s="34"/>
      <c r="L181" s="34"/>
      <c r="M181" s="34"/>
    </row>
    <row r="182" spans="1:13" ht="16.5" customHeight="1" x14ac:dyDescent="0.15">
      <c r="A182" s="75">
        <v>8</v>
      </c>
      <c r="B182" s="59" t="s">
        <v>216</v>
      </c>
      <c r="C182" s="100"/>
      <c r="D182" s="64" t="s">
        <v>169</v>
      </c>
      <c r="E182" s="59" t="s">
        <v>216</v>
      </c>
      <c r="F182" s="59" t="s">
        <v>216</v>
      </c>
      <c r="G182" s="34"/>
      <c r="H182" s="34"/>
      <c r="I182" s="34"/>
      <c r="J182" s="34"/>
      <c r="K182" s="34"/>
      <c r="L182" s="34"/>
      <c r="M182" s="34"/>
    </row>
    <row r="183" spans="1:13" ht="16.5" customHeight="1" thickBot="1" x14ac:dyDescent="0.2">
      <c r="A183" s="72" t="s">
        <v>168</v>
      </c>
      <c r="B183" s="62" t="s">
        <v>187</v>
      </c>
      <c r="C183" s="100"/>
      <c r="D183" s="97" t="s">
        <v>177</v>
      </c>
      <c r="E183" s="62" t="s">
        <v>187</v>
      </c>
      <c r="F183" s="62" t="s">
        <v>187</v>
      </c>
      <c r="G183" s="34"/>
      <c r="H183" s="34"/>
      <c r="I183" s="34"/>
      <c r="J183" s="34"/>
      <c r="K183" s="34"/>
      <c r="L183" s="34"/>
      <c r="M183" s="34"/>
    </row>
    <row r="184" spans="1:13" ht="16.5" customHeight="1" x14ac:dyDescent="0.15">
      <c r="A184" s="54" t="s">
        <v>125</v>
      </c>
      <c r="B184" s="54" t="s">
        <v>189</v>
      </c>
      <c r="C184" s="79" t="s">
        <v>182</v>
      </c>
      <c r="D184" s="98" t="s">
        <v>192</v>
      </c>
      <c r="E184" s="96" t="s">
        <v>190</v>
      </c>
      <c r="F184" s="65" t="s">
        <v>180</v>
      </c>
      <c r="G184" s="34"/>
      <c r="H184" s="34"/>
      <c r="I184" s="34"/>
      <c r="J184" s="34"/>
      <c r="K184" s="34"/>
      <c r="L184" s="34"/>
      <c r="M184" s="34"/>
    </row>
    <row r="185" spans="1:13" ht="16.5" customHeight="1" x14ac:dyDescent="0.15">
      <c r="A185" s="55" t="s">
        <v>191</v>
      </c>
      <c r="B185" s="56" t="s">
        <v>3</v>
      </c>
      <c r="C185" s="89" t="s">
        <v>19</v>
      </c>
      <c r="D185" s="99" t="s">
        <v>18</v>
      </c>
      <c r="E185" s="77" t="s">
        <v>27</v>
      </c>
      <c r="F185" s="56" t="s">
        <v>9</v>
      </c>
      <c r="G185" s="34"/>
      <c r="H185" s="34"/>
      <c r="I185" s="34"/>
      <c r="J185" s="34"/>
      <c r="K185" s="34"/>
      <c r="L185" s="34"/>
      <c r="M185" s="34"/>
    </row>
    <row r="186" spans="1:13" ht="16.5" customHeight="1" x14ac:dyDescent="0.15">
      <c r="A186" s="75">
        <v>1</v>
      </c>
      <c r="B186" s="59" t="s">
        <v>169</v>
      </c>
      <c r="C186" s="64" t="s">
        <v>169</v>
      </c>
      <c r="D186" s="92" t="s">
        <v>226</v>
      </c>
      <c r="E186" s="90" t="s">
        <v>169</v>
      </c>
      <c r="F186" s="59" t="s">
        <v>169</v>
      </c>
      <c r="G186" s="34"/>
      <c r="H186" s="34"/>
      <c r="I186" s="34"/>
      <c r="J186" s="34"/>
      <c r="K186" s="34"/>
      <c r="L186" s="34"/>
      <c r="M186" s="34"/>
    </row>
    <row r="187" spans="1:13" ht="16.5" customHeight="1" x14ac:dyDescent="0.15">
      <c r="A187" s="72" t="s">
        <v>164</v>
      </c>
      <c r="B187" s="62" t="s">
        <v>177</v>
      </c>
      <c r="C187" s="67" t="s">
        <v>177</v>
      </c>
      <c r="D187" s="84" t="s">
        <v>178</v>
      </c>
      <c r="E187" s="69" t="s">
        <v>177</v>
      </c>
      <c r="F187" s="62" t="s">
        <v>177</v>
      </c>
      <c r="G187" s="34"/>
      <c r="H187" s="34"/>
      <c r="I187" s="34"/>
      <c r="J187" s="34"/>
      <c r="K187" s="34"/>
      <c r="L187" s="34"/>
      <c r="M187" s="34"/>
    </row>
    <row r="188" spans="1:13" ht="16.5" customHeight="1" x14ac:dyDescent="0.15">
      <c r="A188" s="75">
        <v>2</v>
      </c>
      <c r="B188" s="59" t="s">
        <v>169</v>
      </c>
      <c r="C188" s="64" t="s">
        <v>169</v>
      </c>
      <c r="D188" s="92" t="s">
        <v>226</v>
      </c>
      <c r="E188" s="90" t="s">
        <v>169</v>
      </c>
      <c r="F188" s="59" t="s">
        <v>169</v>
      </c>
      <c r="G188" s="34"/>
      <c r="H188" s="34"/>
      <c r="I188" s="34"/>
      <c r="J188" s="34"/>
      <c r="K188" s="34"/>
      <c r="L188" s="34"/>
      <c r="M188" s="34"/>
    </row>
    <row r="189" spans="1:13" ht="16.5" customHeight="1" thickBot="1" x14ac:dyDescent="0.2">
      <c r="A189" s="72" t="s">
        <v>166</v>
      </c>
      <c r="B189" s="62" t="s">
        <v>177</v>
      </c>
      <c r="C189" s="67" t="s">
        <v>177</v>
      </c>
      <c r="D189" s="85" t="s">
        <v>178</v>
      </c>
      <c r="E189" s="69" t="s">
        <v>177</v>
      </c>
      <c r="F189" s="62" t="s">
        <v>177</v>
      </c>
      <c r="G189" s="34"/>
      <c r="H189" s="34"/>
      <c r="I189" s="34"/>
      <c r="J189" s="34"/>
      <c r="K189" s="34"/>
      <c r="L189" s="34"/>
      <c r="M189" s="34"/>
    </row>
    <row r="190" spans="1:13" ht="16.5" customHeight="1" x14ac:dyDescent="0.15">
      <c r="A190" s="75">
        <v>3</v>
      </c>
      <c r="B190" s="59" t="s">
        <v>169</v>
      </c>
      <c r="C190" s="59" t="s">
        <v>169</v>
      </c>
      <c r="D190" s="91" t="s">
        <v>159</v>
      </c>
      <c r="E190" s="59" t="s">
        <v>169</v>
      </c>
      <c r="F190" s="59" t="s">
        <v>169</v>
      </c>
      <c r="G190" s="34"/>
      <c r="H190" s="34"/>
      <c r="I190" s="34"/>
      <c r="J190" s="34"/>
      <c r="K190" s="34"/>
      <c r="L190" s="34"/>
      <c r="M190" s="34"/>
    </row>
    <row r="191" spans="1:13" ht="16.5" customHeight="1" x14ac:dyDescent="0.15">
      <c r="A191" s="72" t="s">
        <v>167</v>
      </c>
      <c r="B191" s="62" t="s">
        <v>177</v>
      </c>
      <c r="C191" s="62" t="s">
        <v>177</v>
      </c>
      <c r="D191" s="62" t="s">
        <v>178</v>
      </c>
      <c r="E191" s="62" t="s">
        <v>177</v>
      </c>
      <c r="F191" s="62" t="s">
        <v>177</v>
      </c>
      <c r="G191" s="34"/>
      <c r="H191" s="34"/>
      <c r="I191" s="34"/>
      <c r="J191" s="34"/>
      <c r="K191" s="34"/>
      <c r="L191" s="34"/>
      <c r="M191" s="34"/>
    </row>
    <row r="192" spans="1:13" ht="16.5" customHeight="1" x14ac:dyDescent="0.15">
      <c r="A192" s="75">
        <v>4</v>
      </c>
      <c r="B192" s="59" t="s">
        <v>169</v>
      </c>
      <c r="C192" s="59" t="s">
        <v>169</v>
      </c>
      <c r="D192" s="59" t="s">
        <v>159</v>
      </c>
      <c r="E192" s="59" t="s">
        <v>169</v>
      </c>
      <c r="F192" s="59" t="s">
        <v>169</v>
      </c>
      <c r="G192" s="34"/>
      <c r="H192" s="34"/>
      <c r="I192" s="34"/>
      <c r="J192" s="34"/>
      <c r="K192" s="34"/>
      <c r="L192" s="34"/>
      <c r="M192" s="34"/>
    </row>
    <row r="193" spans="1:13" ht="16.5" customHeight="1" x14ac:dyDescent="0.15">
      <c r="A193" s="72" t="s">
        <v>163</v>
      </c>
      <c r="B193" s="62" t="s">
        <v>177</v>
      </c>
      <c r="C193" s="62" t="s">
        <v>177</v>
      </c>
      <c r="D193" s="63" t="s">
        <v>178</v>
      </c>
      <c r="E193" s="62" t="s">
        <v>177</v>
      </c>
      <c r="F193" s="62" t="s">
        <v>177</v>
      </c>
      <c r="G193" s="34"/>
      <c r="H193" s="34"/>
      <c r="I193" s="34"/>
      <c r="J193" s="34"/>
      <c r="K193" s="34"/>
      <c r="L193" s="34"/>
      <c r="M193" s="34"/>
    </row>
    <row r="194" spans="1:13" ht="16.5" customHeight="1" x14ac:dyDescent="0.15">
      <c r="A194" s="75">
        <v>5</v>
      </c>
      <c r="B194" s="59" t="s">
        <v>216</v>
      </c>
      <c r="C194" s="59" t="s">
        <v>159</v>
      </c>
      <c r="D194" s="59" t="s">
        <v>169</v>
      </c>
      <c r="E194" s="59" t="s">
        <v>159</v>
      </c>
      <c r="F194" s="59" t="s">
        <v>159</v>
      </c>
      <c r="G194" s="34"/>
      <c r="H194" s="34"/>
      <c r="I194" s="34"/>
      <c r="J194" s="34"/>
      <c r="K194" s="34"/>
      <c r="L194" s="34"/>
      <c r="M194" s="34"/>
    </row>
    <row r="195" spans="1:13" ht="16.5" customHeight="1" x14ac:dyDescent="0.15">
      <c r="A195" s="72" t="s">
        <v>165</v>
      </c>
      <c r="B195" s="62" t="s">
        <v>187</v>
      </c>
      <c r="C195" s="62" t="s">
        <v>212</v>
      </c>
      <c r="D195" s="62" t="s">
        <v>177</v>
      </c>
      <c r="E195" s="62" t="s">
        <v>212</v>
      </c>
      <c r="F195" s="62" t="s">
        <v>178</v>
      </c>
      <c r="G195" s="34"/>
      <c r="H195" s="34"/>
      <c r="I195" s="34"/>
      <c r="J195" s="34"/>
      <c r="K195" s="34"/>
      <c r="L195" s="34"/>
      <c r="M195" s="34"/>
    </row>
    <row r="196" spans="1:13" ht="16.5" customHeight="1" x14ac:dyDescent="0.15">
      <c r="A196" s="75">
        <v>6</v>
      </c>
      <c r="B196" s="59" t="s">
        <v>216</v>
      </c>
      <c r="C196" s="59" t="s">
        <v>159</v>
      </c>
      <c r="D196" s="59" t="s">
        <v>169</v>
      </c>
      <c r="E196" s="59" t="s">
        <v>159</v>
      </c>
      <c r="F196" s="59" t="s">
        <v>159</v>
      </c>
      <c r="G196" s="34"/>
      <c r="H196" s="34"/>
      <c r="I196" s="34"/>
      <c r="J196" s="34"/>
      <c r="K196" s="34"/>
      <c r="L196" s="34"/>
      <c r="M196" s="34"/>
    </row>
    <row r="197" spans="1:13" ht="16.5" customHeight="1" x14ac:dyDescent="0.15">
      <c r="A197" s="72" t="s">
        <v>160</v>
      </c>
      <c r="B197" s="62" t="s">
        <v>187</v>
      </c>
      <c r="C197" s="62" t="s">
        <v>212</v>
      </c>
      <c r="D197" s="62" t="s">
        <v>177</v>
      </c>
      <c r="E197" s="62" t="s">
        <v>212</v>
      </c>
      <c r="F197" s="62" t="s">
        <v>178</v>
      </c>
      <c r="G197" s="34"/>
      <c r="H197" s="34"/>
      <c r="I197" s="34"/>
      <c r="J197" s="34"/>
      <c r="K197" s="34"/>
      <c r="L197" s="34"/>
      <c r="M197" s="34"/>
    </row>
    <row r="198" spans="1:13" ht="16.5" customHeight="1" x14ac:dyDescent="0.15">
      <c r="A198" s="75">
        <v>7</v>
      </c>
      <c r="B198" s="59" t="s">
        <v>216</v>
      </c>
      <c r="C198" s="59" t="s">
        <v>159</v>
      </c>
      <c r="D198" s="59" t="s">
        <v>169</v>
      </c>
      <c r="E198" s="59" t="s">
        <v>159</v>
      </c>
      <c r="F198" s="59" t="s">
        <v>159</v>
      </c>
      <c r="G198" s="34"/>
      <c r="H198" s="34"/>
      <c r="I198" s="34"/>
      <c r="J198" s="34"/>
      <c r="K198" s="34"/>
      <c r="L198" s="34"/>
      <c r="M198" s="34"/>
    </row>
    <row r="199" spans="1:13" ht="16.5" customHeight="1" x14ac:dyDescent="0.15">
      <c r="A199" s="72" t="s">
        <v>161</v>
      </c>
      <c r="B199" s="62" t="s">
        <v>187</v>
      </c>
      <c r="C199" s="62" t="s">
        <v>212</v>
      </c>
      <c r="D199" s="62" t="s">
        <v>177</v>
      </c>
      <c r="E199" s="62" t="s">
        <v>212</v>
      </c>
      <c r="F199" s="62" t="s">
        <v>178</v>
      </c>
      <c r="G199" s="34"/>
      <c r="H199" s="34"/>
      <c r="I199" s="34"/>
      <c r="J199" s="34"/>
      <c r="K199" s="34"/>
      <c r="L199" s="34"/>
      <c r="M199" s="34"/>
    </row>
    <row r="200" spans="1:13" ht="16.5" customHeight="1" x14ac:dyDescent="0.15">
      <c r="A200" s="75">
        <v>8</v>
      </c>
      <c r="B200" s="59" t="s">
        <v>216</v>
      </c>
      <c r="C200" s="59" t="s">
        <v>159</v>
      </c>
      <c r="D200" s="59" t="s">
        <v>169</v>
      </c>
      <c r="E200" s="59" t="s">
        <v>159</v>
      </c>
      <c r="F200" s="59" t="s">
        <v>159</v>
      </c>
      <c r="G200" s="34"/>
      <c r="H200" s="34"/>
      <c r="I200" s="34"/>
      <c r="J200" s="34"/>
      <c r="K200" s="34"/>
      <c r="L200" s="34"/>
      <c r="M200" s="34"/>
    </row>
    <row r="201" spans="1:13" ht="16.5" customHeight="1" x14ac:dyDescent="0.15">
      <c r="A201" s="72" t="s">
        <v>168</v>
      </c>
      <c r="B201" s="62" t="s">
        <v>187</v>
      </c>
      <c r="C201" s="63" t="s">
        <v>212</v>
      </c>
      <c r="D201" s="62" t="s">
        <v>177</v>
      </c>
      <c r="E201" s="63" t="s">
        <v>212</v>
      </c>
      <c r="F201" s="63" t="s">
        <v>178</v>
      </c>
      <c r="G201" s="34"/>
      <c r="H201" s="34"/>
      <c r="I201" s="34"/>
      <c r="J201" s="34"/>
      <c r="K201" s="34"/>
      <c r="L201" s="34"/>
      <c r="M201" s="34"/>
    </row>
    <row r="202" spans="1:13" ht="16.5" customHeight="1" x14ac:dyDescent="0.15">
      <c r="A202" s="54" t="s">
        <v>126</v>
      </c>
      <c r="B202" s="54" t="s">
        <v>189</v>
      </c>
      <c r="C202" s="54" t="s">
        <v>182</v>
      </c>
      <c r="D202" s="54" t="s">
        <v>25</v>
      </c>
      <c r="E202" s="54" t="s">
        <v>190</v>
      </c>
      <c r="F202" s="54" t="s">
        <v>180</v>
      </c>
      <c r="G202" s="34"/>
      <c r="H202" s="34"/>
      <c r="I202" s="34"/>
      <c r="J202" s="34"/>
      <c r="K202" s="34"/>
      <c r="L202" s="34"/>
      <c r="M202" s="34"/>
    </row>
    <row r="203" spans="1:13" ht="16.5" customHeight="1" x14ac:dyDescent="0.15">
      <c r="A203" s="55" t="s">
        <v>191</v>
      </c>
      <c r="B203" s="56" t="s">
        <v>26</v>
      </c>
      <c r="C203" s="56" t="s">
        <v>28</v>
      </c>
      <c r="D203" s="56" t="s">
        <v>17</v>
      </c>
      <c r="E203" s="56" t="s">
        <v>29</v>
      </c>
      <c r="F203" s="56" t="s">
        <v>12</v>
      </c>
      <c r="G203" s="34"/>
      <c r="H203" s="34"/>
      <c r="I203" s="34"/>
      <c r="J203" s="34"/>
      <c r="K203" s="34"/>
      <c r="L203" s="34"/>
      <c r="M203" s="34"/>
    </row>
    <row r="204" spans="1:13" ht="16.5" customHeight="1" x14ac:dyDescent="0.15">
      <c r="A204" s="75">
        <v>1</v>
      </c>
      <c r="B204" s="59" t="s">
        <v>169</v>
      </c>
      <c r="C204" s="59" t="s">
        <v>169</v>
      </c>
      <c r="D204" s="59" t="s">
        <v>159</v>
      </c>
      <c r="E204" s="59" t="s">
        <v>169</v>
      </c>
      <c r="F204" s="59" t="s">
        <v>159</v>
      </c>
      <c r="G204" s="34"/>
      <c r="H204" s="34"/>
      <c r="I204" s="34"/>
      <c r="J204" s="34"/>
      <c r="K204" s="34"/>
      <c r="L204" s="34"/>
      <c r="M204" s="34"/>
    </row>
    <row r="205" spans="1:13" ht="16.5" customHeight="1" x14ac:dyDescent="0.15">
      <c r="A205" s="72" t="s">
        <v>164</v>
      </c>
      <c r="B205" s="62" t="s">
        <v>177</v>
      </c>
      <c r="C205" s="62" t="s">
        <v>177</v>
      </c>
      <c r="D205" s="62" t="s">
        <v>178</v>
      </c>
      <c r="E205" s="62" t="s">
        <v>177</v>
      </c>
      <c r="F205" s="62" t="s">
        <v>178</v>
      </c>
      <c r="G205" s="34"/>
      <c r="H205" s="34"/>
      <c r="I205" s="34"/>
      <c r="J205" s="34"/>
      <c r="K205" s="34"/>
      <c r="L205" s="34"/>
      <c r="M205" s="34"/>
    </row>
    <row r="206" spans="1:13" ht="16.5" customHeight="1" x14ac:dyDescent="0.15">
      <c r="A206" s="75">
        <v>2</v>
      </c>
      <c r="B206" s="59" t="s">
        <v>169</v>
      </c>
      <c r="C206" s="59" t="s">
        <v>169</v>
      </c>
      <c r="D206" s="59" t="s">
        <v>159</v>
      </c>
      <c r="E206" s="59" t="s">
        <v>169</v>
      </c>
      <c r="F206" s="59" t="s">
        <v>159</v>
      </c>
      <c r="G206" s="34"/>
      <c r="H206" s="34"/>
      <c r="I206" s="34"/>
      <c r="J206" s="34"/>
      <c r="K206" s="34"/>
      <c r="L206" s="34"/>
      <c r="M206" s="34"/>
    </row>
    <row r="207" spans="1:13" ht="16.5" customHeight="1" x14ac:dyDescent="0.15">
      <c r="A207" s="72" t="s">
        <v>166</v>
      </c>
      <c r="B207" s="62" t="s">
        <v>177</v>
      </c>
      <c r="C207" s="62" t="s">
        <v>177</v>
      </c>
      <c r="D207" s="62" t="s">
        <v>178</v>
      </c>
      <c r="E207" s="62" t="s">
        <v>177</v>
      </c>
      <c r="F207" s="62" t="s">
        <v>178</v>
      </c>
      <c r="G207" s="34"/>
      <c r="H207" s="34"/>
      <c r="I207" s="34"/>
      <c r="J207" s="34"/>
      <c r="K207" s="34"/>
      <c r="L207" s="34"/>
      <c r="M207" s="34"/>
    </row>
    <row r="208" spans="1:13" ht="16.5" customHeight="1" x14ac:dyDescent="0.15">
      <c r="A208" s="75">
        <v>3</v>
      </c>
      <c r="B208" s="59" t="s">
        <v>169</v>
      </c>
      <c r="C208" s="59" t="s">
        <v>169</v>
      </c>
      <c r="D208" s="59" t="s">
        <v>159</v>
      </c>
      <c r="E208" s="59" t="s">
        <v>169</v>
      </c>
      <c r="F208" s="59" t="s">
        <v>159</v>
      </c>
      <c r="G208" s="34"/>
      <c r="H208" s="34"/>
      <c r="I208" s="34"/>
      <c r="J208" s="34"/>
      <c r="K208" s="34"/>
      <c r="L208" s="34"/>
      <c r="M208" s="34"/>
    </row>
    <row r="209" spans="1:13" ht="16.5" customHeight="1" x14ac:dyDescent="0.15">
      <c r="A209" s="72" t="s">
        <v>167</v>
      </c>
      <c r="B209" s="62" t="s">
        <v>177</v>
      </c>
      <c r="C209" s="62" t="s">
        <v>177</v>
      </c>
      <c r="D209" s="62" t="s">
        <v>178</v>
      </c>
      <c r="E209" s="62" t="s">
        <v>177</v>
      </c>
      <c r="F209" s="62" t="s">
        <v>178</v>
      </c>
      <c r="G209" s="34"/>
      <c r="H209" s="34"/>
      <c r="I209" s="34"/>
      <c r="J209" s="34"/>
      <c r="K209" s="34"/>
      <c r="L209" s="34"/>
      <c r="M209" s="34"/>
    </row>
    <row r="210" spans="1:13" ht="16.5" customHeight="1" x14ac:dyDescent="0.15">
      <c r="A210" s="75">
        <v>4</v>
      </c>
      <c r="B210" s="59" t="s">
        <v>169</v>
      </c>
      <c r="C210" s="59" t="s">
        <v>169</v>
      </c>
      <c r="D210" s="59" t="s">
        <v>159</v>
      </c>
      <c r="E210" s="59" t="s">
        <v>169</v>
      </c>
      <c r="F210" s="59" t="s">
        <v>159</v>
      </c>
      <c r="G210" s="34"/>
      <c r="H210" s="34"/>
      <c r="I210" s="34"/>
      <c r="J210" s="34"/>
      <c r="K210" s="34"/>
      <c r="L210" s="34"/>
      <c r="M210" s="34"/>
    </row>
    <row r="211" spans="1:13" ht="16.5" customHeight="1" x14ac:dyDescent="0.15">
      <c r="A211" s="72" t="s">
        <v>163</v>
      </c>
      <c r="B211" s="62" t="s">
        <v>177</v>
      </c>
      <c r="C211" s="62" t="s">
        <v>177</v>
      </c>
      <c r="D211" s="63" t="s">
        <v>178</v>
      </c>
      <c r="E211" s="62" t="s">
        <v>177</v>
      </c>
      <c r="F211" s="62" t="s">
        <v>178</v>
      </c>
      <c r="G211" s="34"/>
      <c r="H211" s="34"/>
      <c r="I211" s="34"/>
      <c r="J211" s="34"/>
      <c r="K211" s="34"/>
      <c r="L211" s="34"/>
      <c r="M211" s="34"/>
    </row>
    <row r="212" spans="1:13" ht="16.5" customHeight="1" x14ac:dyDescent="0.15">
      <c r="A212" s="75">
        <v>5</v>
      </c>
      <c r="B212" s="59" t="s">
        <v>216</v>
      </c>
      <c r="C212" s="59" t="s">
        <v>159</v>
      </c>
      <c r="D212" s="59" t="s">
        <v>169</v>
      </c>
      <c r="E212" s="59" t="s">
        <v>159</v>
      </c>
      <c r="F212" s="59" t="s">
        <v>169</v>
      </c>
      <c r="G212" s="34"/>
      <c r="H212" s="34"/>
      <c r="I212" s="34"/>
      <c r="J212" s="34"/>
      <c r="K212" s="34"/>
      <c r="L212" s="34"/>
      <c r="M212" s="34"/>
    </row>
    <row r="213" spans="1:13" ht="16.5" customHeight="1" x14ac:dyDescent="0.15">
      <c r="A213" s="72" t="s">
        <v>165</v>
      </c>
      <c r="B213" s="62" t="s">
        <v>187</v>
      </c>
      <c r="C213" s="62" t="s">
        <v>212</v>
      </c>
      <c r="D213" s="62" t="s">
        <v>177</v>
      </c>
      <c r="E213" s="62" t="s">
        <v>212</v>
      </c>
      <c r="F213" s="62" t="s">
        <v>177</v>
      </c>
      <c r="G213" s="34"/>
      <c r="H213" s="34"/>
      <c r="I213" s="34"/>
      <c r="J213" s="34"/>
      <c r="K213" s="34"/>
      <c r="L213" s="34"/>
      <c r="M213" s="34"/>
    </row>
    <row r="214" spans="1:13" ht="16.5" customHeight="1" x14ac:dyDescent="0.15">
      <c r="A214" s="75">
        <v>6</v>
      </c>
      <c r="B214" s="59" t="s">
        <v>216</v>
      </c>
      <c r="C214" s="59" t="s">
        <v>159</v>
      </c>
      <c r="D214" s="59" t="s">
        <v>169</v>
      </c>
      <c r="E214" s="59" t="s">
        <v>159</v>
      </c>
      <c r="F214" s="59" t="s">
        <v>169</v>
      </c>
      <c r="G214" s="34"/>
      <c r="H214" s="34"/>
      <c r="I214" s="34"/>
      <c r="J214" s="34"/>
      <c r="K214" s="34"/>
      <c r="L214" s="34"/>
      <c r="M214" s="34"/>
    </row>
    <row r="215" spans="1:13" ht="16.5" customHeight="1" x14ac:dyDescent="0.15">
      <c r="A215" s="72" t="s">
        <v>160</v>
      </c>
      <c r="B215" s="62" t="s">
        <v>187</v>
      </c>
      <c r="C215" s="62" t="s">
        <v>212</v>
      </c>
      <c r="D215" s="62" t="s">
        <v>177</v>
      </c>
      <c r="E215" s="62" t="s">
        <v>212</v>
      </c>
      <c r="F215" s="62" t="s">
        <v>177</v>
      </c>
      <c r="G215" s="34"/>
      <c r="H215" s="34"/>
      <c r="I215" s="34"/>
      <c r="J215" s="34"/>
      <c r="K215" s="34"/>
      <c r="L215" s="34"/>
      <c r="M215" s="34"/>
    </row>
    <row r="216" spans="1:13" ht="16.5" customHeight="1" x14ac:dyDescent="0.15">
      <c r="A216" s="75">
        <v>7</v>
      </c>
      <c r="B216" s="59" t="s">
        <v>216</v>
      </c>
      <c r="C216" s="59" t="s">
        <v>159</v>
      </c>
      <c r="D216" s="59" t="s">
        <v>169</v>
      </c>
      <c r="E216" s="59" t="s">
        <v>159</v>
      </c>
      <c r="F216" s="59" t="s">
        <v>169</v>
      </c>
      <c r="G216" s="34"/>
      <c r="H216" s="34"/>
      <c r="I216" s="34"/>
      <c r="J216" s="34"/>
      <c r="K216" s="34"/>
      <c r="L216" s="34"/>
      <c r="M216" s="34"/>
    </row>
    <row r="217" spans="1:13" ht="16.5" customHeight="1" x14ac:dyDescent="0.15">
      <c r="A217" s="72" t="s">
        <v>161</v>
      </c>
      <c r="B217" s="62" t="s">
        <v>187</v>
      </c>
      <c r="C217" s="62" t="s">
        <v>212</v>
      </c>
      <c r="D217" s="62" t="s">
        <v>177</v>
      </c>
      <c r="E217" s="62" t="s">
        <v>212</v>
      </c>
      <c r="F217" s="62" t="s">
        <v>177</v>
      </c>
      <c r="G217" s="34"/>
      <c r="H217" s="34"/>
      <c r="I217" s="34"/>
      <c r="J217" s="34"/>
      <c r="K217" s="34"/>
      <c r="L217" s="34"/>
      <c r="M217" s="34"/>
    </row>
    <row r="218" spans="1:13" ht="16.5" customHeight="1" x14ac:dyDescent="0.15">
      <c r="A218" s="75">
        <v>8</v>
      </c>
      <c r="B218" s="59" t="s">
        <v>216</v>
      </c>
      <c r="C218" s="59" t="s">
        <v>159</v>
      </c>
      <c r="D218" s="59" t="s">
        <v>169</v>
      </c>
      <c r="E218" s="59" t="s">
        <v>159</v>
      </c>
      <c r="F218" s="59" t="s">
        <v>169</v>
      </c>
      <c r="G218" s="34"/>
      <c r="H218" s="34"/>
      <c r="I218" s="34"/>
      <c r="J218" s="34"/>
      <c r="K218" s="34"/>
      <c r="L218" s="34"/>
      <c r="M218" s="34"/>
    </row>
    <row r="219" spans="1:13" ht="16.5" customHeight="1" x14ac:dyDescent="0.15">
      <c r="A219" s="72" t="s">
        <v>168</v>
      </c>
      <c r="B219" s="62" t="s">
        <v>187</v>
      </c>
      <c r="C219" s="62" t="s">
        <v>212</v>
      </c>
      <c r="D219" s="62" t="s">
        <v>177</v>
      </c>
      <c r="E219" s="62" t="s">
        <v>212</v>
      </c>
      <c r="F219" s="62" t="s">
        <v>177</v>
      </c>
      <c r="G219" s="34"/>
      <c r="H219" s="34"/>
      <c r="I219" s="34"/>
      <c r="J219" s="34"/>
      <c r="K219" s="34"/>
      <c r="L219" s="34"/>
      <c r="M219" s="34"/>
    </row>
    <row r="220" spans="1:13" ht="16.5" customHeight="1" x14ac:dyDescent="0.15">
      <c r="A220" s="54" t="s">
        <v>119</v>
      </c>
      <c r="B220" s="54" t="s">
        <v>189</v>
      </c>
      <c r="C220" s="54" t="s">
        <v>182</v>
      </c>
      <c r="D220" s="54" t="s">
        <v>192</v>
      </c>
      <c r="E220" s="54" t="s">
        <v>190</v>
      </c>
      <c r="F220" s="54" t="s">
        <v>180</v>
      </c>
      <c r="G220" s="34"/>
      <c r="H220" s="34"/>
      <c r="I220" s="34"/>
      <c r="J220" s="34"/>
      <c r="K220" s="34"/>
      <c r="L220" s="34"/>
      <c r="M220" s="34"/>
    </row>
    <row r="221" spans="1:13" ht="16.5" customHeight="1" x14ac:dyDescent="0.15">
      <c r="A221" s="55" t="s">
        <v>191</v>
      </c>
      <c r="B221" s="56" t="s">
        <v>23</v>
      </c>
      <c r="C221" s="56" t="s">
        <v>5</v>
      </c>
      <c r="D221" s="56" t="s">
        <v>6</v>
      </c>
      <c r="E221" s="56" t="s">
        <v>7</v>
      </c>
      <c r="F221" s="56" t="s">
        <v>13</v>
      </c>
      <c r="G221" s="34"/>
      <c r="H221" s="34"/>
      <c r="I221" s="34"/>
      <c r="J221" s="34"/>
      <c r="K221" s="34"/>
      <c r="L221" s="34"/>
      <c r="M221" s="34"/>
    </row>
    <row r="222" spans="1:13" ht="16.5" customHeight="1" x14ac:dyDescent="0.15">
      <c r="A222" s="75">
        <v>1</v>
      </c>
      <c r="B222" s="59" t="s">
        <v>169</v>
      </c>
      <c r="C222" s="59" t="s">
        <v>157</v>
      </c>
      <c r="D222" s="59" t="s">
        <v>159</v>
      </c>
      <c r="E222" s="59" t="s">
        <v>157</v>
      </c>
      <c r="F222" s="59" t="s">
        <v>159</v>
      </c>
      <c r="G222" s="34"/>
      <c r="H222" s="34"/>
      <c r="I222" s="34"/>
      <c r="J222" s="34"/>
      <c r="K222" s="34"/>
      <c r="L222" s="34"/>
      <c r="M222" s="34"/>
    </row>
    <row r="223" spans="1:13" ht="16.5" customHeight="1" x14ac:dyDescent="0.15">
      <c r="A223" s="72" t="s">
        <v>164</v>
      </c>
      <c r="B223" s="62" t="s">
        <v>177</v>
      </c>
      <c r="C223" s="62" t="s">
        <v>193</v>
      </c>
      <c r="D223" s="62" t="s">
        <v>178</v>
      </c>
      <c r="E223" s="62" t="s">
        <v>193</v>
      </c>
      <c r="F223" s="62" t="s">
        <v>212</v>
      </c>
      <c r="G223" s="34"/>
      <c r="H223" s="34"/>
      <c r="I223" s="34"/>
      <c r="J223" s="34"/>
      <c r="K223" s="34"/>
      <c r="L223" s="34"/>
      <c r="M223" s="34"/>
    </row>
    <row r="224" spans="1:13" ht="16.5" customHeight="1" x14ac:dyDescent="0.15">
      <c r="A224" s="75">
        <v>2</v>
      </c>
      <c r="B224" s="59" t="s">
        <v>169</v>
      </c>
      <c r="C224" s="59" t="s">
        <v>157</v>
      </c>
      <c r="D224" s="59" t="s">
        <v>159</v>
      </c>
      <c r="E224" s="59" t="s">
        <v>157</v>
      </c>
      <c r="F224" s="59" t="s">
        <v>159</v>
      </c>
      <c r="G224" s="34"/>
      <c r="H224" s="34"/>
      <c r="I224" s="34"/>
      <c r="J224" s="34"/>
      <c r="K224" s="34"/>
      <c r="L224" s="34"/>
      <c r="M224" s="34"/>
    </row>
    <row r="225" spans="1:13" ht="16.5" customHeight="1" x14ac:dyDescent="0.15">
      <c r="A225" s="72" t="s">
        <v>166</v>
      </c>
      <c r="B225" s="62" t="s">
        <v>177</v>
      </c>
      <c r="C225" s="62" t="s">
        <v>193</v>
      </c>
      <c r="D225" s="62" t="s">
        <v>178</v>
      </c>
      <c r="E225" s="62" t="s">
        <v>193</v>
      </c>
      <c r="F225" s="62" t="s">
        <v>212</v>
      </c>
      <c r="G225" s="34"/>
      <c r="H225" s="34"/>
      <c r="I225" s="34"/>
      <c r="J225" s="34"/>
      <c r="K225" s="34"/>
      <c r="L225" s="34"/>
      <c r="M225" s="34"/>
    </row>
    <row r="226" spans="1:13" ht="16.5" customHeight="1" x14ac:dyDescent="0.15">
      <c r="A226" s="75">
        <v>3</v>
      </c>
      <c r="B226" s="59" t="s">
        <v>169</v>
      </c>
      <c r="C226" s="59" t="s">
        <v>157</v>
      </c>
      <c r="D226" s="59" t="s">
        <v>159</v>
      </c>
      <c r="E226" s="59" t="s">
        <v>157</v>
      </c>
      <c r="F226" s="59" t="s">
        <v>159</v>
      </c>
      <c r="G226" s="34"/>
      <c r="H226" s="34"/>
      <c r="I226" s="34"/>
      <c r="J226" s="34"/>
      <c r="K226" s="34"/>
      <c r="L226" s="34"/>
      <c r="M226" s="34"/>
    </row>
    <row r="227" spans="1:13" ht="16.5" customHeight="1" x14ac:dyDescent="0.15">
      <c r="A227" s="72" t="s">
        <v>167</v>
      </c>
      <c r="B227" s="62" t="s">
        <v>177</v>
      </c>
      <c r="C227" s="62" t="s">
        <v>193</v>
      </c>
      <c r="D227" s="62" t="s">
        <v>178</v>
      </c>
      <c r="E227" s="62" t="s">
        <v>193</v>
      </c>
      <c r="F227" s="62" t="s">
        <v>212</v>
      </c>
      <c r="G227" s="34"/>
      <c r="H227" s="34"/>
      <c r="I227" s="34"/>
      <c r="J227" s="34"/>
      <c r="K227" s="34"/>
      <c r="L227" s="34"/>
      <c r="M227" s="34"/>
    </row>
    <row r="228" spans="1:13" ht="16.5" customHeight="1" x14ac:dyDescent="0.15">
      <c r="A228" s="75">
        <v>4</v>
      </c>
      <c r="B228" s="59" t="s">
        <v>169</v>
      </c>
      <c r="C228" s="59" t="s">
        <v>157</v>
      </c>
      <c r="D228" s="59" t="s">
        <v>159</v>
      </c>
      <c r="E228" s="59" t="s">
        <v>157</v>
      </c>
      <c r="F228" s="59" t="s">
        <v>159</v>
      </c>
      <c r="G228" s="34"/>
      <c r="H228" s="34"/>
      <c r="I228" s="34"/>
      <c r="J228" s="34"/>
      <c r="K228" s="34"/>
      <c r="L228" s="34"/>
      <c r="M228" s="34"/>
    </row>
    <row r="229" spans="1:13" ht="16.5" customHeight="1" x14ac:dyDescent="0.15">
      <c r="A229" s="72" t="s">
        <v>163</v>
      </c>
      <c r="B229" s="62" t="s">
        <v>177</v>
      </c>
      <c r="C229" s="62" t="s">
        <v>193</v>
      </c>
      <c r="D229" s="62" t="s">
        <v>178</v>
      </c>
      <c r="E229" s="62" t="s">
        <v>193</v>
      </c>
      <c r="F229" s="62" t="s">
        <v>212</v>
      </c>
      <c r="G229" s="34"/>
      <c r="H229" s="34"/>
      <c r="I229" s="34"/>
      <c r="J229" s="34"/>
      <c r="K229" s="34"/>
      <c r="L229" s="34"/>
      <c r="M229" s="34"/>
    </row>
    <row r="230" spans="1:13" ht="16.5" customHeight="1" x14ac:dyDescent="0.15">
      <c r="A230" s="75">
        <v>5</v>
      </c>
      <c r="B230" s="59" t="s">
        <v>159</v>
      </c>
      <c r="C230" s="59" t="s">
        <v>157</v>
      </c>
      <c r="D230" s="59" t="s">
        <v>169</v>
      </c>
      <c r="E230" s="59" t="s">
        <v>157</v>
      </c>
      <c r="F230" s="59" t="s">
        <v>159</v>
      </c>
      <c r="G230" s="34"/>
      <c r="H230" s="34"/>
      <c r="I230" s="34"/>
      <c r="J230" s="34"/>
      <c r="K230" s="34"/>
      <c r="L230" s="34"/>
      <c r="M230" s="34"/>
    </row>
    <row r="231" spans="1:13" ht="16.5" customHeight="1" x14ac:dyDescent="0.15">
      <c r="A231" s="72" t="s">
        <v>165</v>
      </c>
      <c r="B231" s="62" t="s">
        <v>178</v>
      </c>
      <c r="C231" s="62" t="s">
        <v>195</v>
      </c>
      <c r="D231" s="62" t="s">
        <v>177</v>
      </c>
      <c r="E231" s="62" t="s">
        <v>195</v>
      </c>
      <c r="F231" s="62" t="s">
        <v>178</v>
      </c>
      <c r="G231" s="34"/>
      <c r="H231" s="34"/>
      <c r="I231" s="34"/>
      <c r="J231" s="34"/>
      <c r="K231" s="34"/>
      <c r="L231" s="34"/>
      <c r="M231" s="34"/>
    </row>
    <row r="232" spans="1:13" ht="16.5" customHeight="1" x14ac:dyDescent="0.15">
      <c r="A232" s="75">
        <v>6</v>
      </c>
      <c r="B232" s="59" t="s">
        <v>159</v>
      </c>
      <c r="C232" s="59" t="s">
        <v>157</v>
      </c>
      <c r="D232" s="59" t="s">
        <v>169</v>
      </c>
      <c r="E232" s="59" t="s">
        <v>157</v>
      </c>
      <c r="F232" s="59" t="s">
        <v>159</v>
      </c>
      <c r="G232" s="34"/>
      <c r="H232" s="34"/>
      <c r="I232" s="34"/>
      <c r="J232" s="34"/>
      <c r="K232" s="34"/>
      <c r="L232" s="34"/>
      <c r="M232" s="34"/>
    </row>
    <row r="233" spans="1:13" ht="16.5" customHeight="1" x14ac:dyDescent="0.15">
      <c r="A233" s="72" t="s">
        <v>160</v>
      </c>
      <c r="B233" s="62" t="s">
        <v>178</v>
      </c>
      <c r="C233" s="62" t="s">
        <v>195</v>
      </c>
      <c r="D233" s="62" t="s">
        <v>177</v>
      </c>
      <c r="E233" s="62" t="s">
        <v>195</v>
      </c>
      <c r="F233" s="62" t="s">
        <v>178</v>
      </c>
      <c r="G233" s="34"/>
      <c r="H233" s="34"/>
      <c r="I233" s="34"/>
      <c r="J233" s="34"/>
      <c r="K233" s="34"/>
      <c r="L233" s="34"/>
      <c r="M233" s="34"/>
    </row>
    <row r="234" spans="1:13" ht="16.5" customHeight="1" x14ac:dyDescent="0.15">
      <c r="A234" s="75">
        <v>7</v>
      </c>
      <c r="B234" s="59" t="s">
        <v>159</v>
      </c>
      <c r="C234" s="59" t="s">
        <v>157</v>
      </c>
      <c r="D234" s="59" t="s">
        <v>169</v>
      </c>
      <c r="E234" s="59" t="s">
        <v>157</v>
      </c>
      <c r="F234" s="59" t="s">
        <v>159</v>
      </c>
      <c r="G234" s="34"/>
      <c r="H234" s="34"/>
      <c r="I234" s="34"/>
      <c r="J234" s="34"/>
      <c r="K234" s="34"/>
      <c r="L234" s="34"/>
      <c r="M234" s="34"/>
    </row>
    <row r="235" spans="1:13" ht="16.5" customHeight="1" x14ac:dyDescent="0.15">
      <c r="A235" s="72" t="s">
        <v>161</v>
      </c>
      <c r="B235" s="62" t="s">
        <v>178</v>
      </c>
      <c r="C235" s="62" t="s">
        <v>195</v>
      </c>
      <c r="D235" s="62" t="s">
        <v>177</v>
      </c>
      <c r="E235" s="62" t="s">
        <v>195</v>
      </c>
      <c r="F235" s="62" t="s">
        <v>178</v>
      </c>
      <c r="G235" s="34"/>
      <c r="H235" s="34"/>
      <c r="I235" s="34"/>
      <c r="J235" s="34"/>
      <c r="K235" s="34"/>
      <c r="L235" s="34"/>
      <c r="M235" s="34"/>
    </row>
    <row r="236" spans="1:13" ht="16.5" customHeight="1" x14ac:dyDescent="0.15">
      <c r="A236" s="75">
        <v>8</v>
      </c>
      <c r="B236" s="59" t="s">
        <v>159</v>
      </c>
      <c r="C236" s="59" t="s">
        <v>157</v>
      </c>
      <c r="D236" s="59" t="s">
        <v>169</v>
      </c>
      <c r="E236" s="59" t="s">
        <v>157</v>
      </c>
      <c r="F236" s="59" t="s">
        <v>159</v>
      </c>
      <c r="G236" s="34"/>
      <c r="H236" s="34"/>
      <c r="I236" s="34"/>
      <c r="J236" s="34"/>
      <c r="K236" s="34"/>
      <c r="L236" s="34"/>
      <c r="M236" s="34"/>
    </row>
    <row r="237" spans="1:13" ht="16.5" customHeight="1" x14ac:dyDescent="0.15">
      <c r="A237" s="72" t="s">
        <v>168</v>
      </c>
      <c r="B237" s="62" t="s">
        <v>178</v>
      </c>
      <c r="C237" s="62" t="s">
        <v>195</v>
      </c>
      <c r="D237" s="62" t="s">
        <v>177</v>
      </c>
      <c r="E237" s="62" t="s">
        <v>195</v>
      </c>
      <c r="F237" s="62" t="s">
        <v>178</v>
      </c>
      <c r="G237" s="34"/>
      <c r="H237" s="34"/>
      <c r="I237" s="34"/>
      <c r="J237" s="34"/>
      <c r="K237" s="34"/>
      <c r="L237" s="34"/>
      <c r="M237" s="34"/>
    </row>
    <row r="238" spans="1:13" ht="16.5" customHeight="1" x14ac:dyDescent="0.15">
      <c r="A238" s="54" t="s">
        <v>118</v>
      </c>
      <c r="B238" s="54" t="s">
        <v>189</v>
      </c>
      <c r="C238" s="54" t="s">
        <v>182</v>
      </c>
      <c r="D238" s="54" t="s">
        <v>192</v>
      </c>
      <c r="E238" s="54" t="s">
        <v>190</v>
      </c>
      <c r="F238" s="54" t="s">
        <v>180</v>
      </c>
      <c r="G238" s="34"/>
      <c r="H238" s="34"/>
      <c r="I238" s="34"/>
      <c r="J238" s="34"/>
      <c r="K238" s="34"/>
      <c r="L238" s="34"/>
      <c r="M238" s="34"/>
    </row>
    <row r="239" spans="1:13" ht="16.5" customHeight="1" x14ac:dyDescent="0.15">
      <c r="A239" s="55" t="s">
        <v>191</v>
      </c>
      <c r="B239" s="56" t="s">
        <v>24</v>
      </c>
      <c r="C239" s="56" t="s">
        <v>8</v>
      </c>
      <c r="D239" s="56" t="s">
        <v>14</v>
      </c>
      <c r="E239" s="56" t="s">
        <v>10</v>
      </c>
      <c r="F239" s="56" t="s">
        <v>11</v>
      </c>
      <c r="G239" s="34"/>
      <c r="H239" s="34"/>
      <c r="I239" s="34"/>
      <c r="J239" s="34"/>
      <c r="K239" s="34"/>
      <c r="L239" s="34"/>
      <c r="M239" s="34"/>
    </row>
    <row r="240" spans="1:13" ht="16.5" customHeight="1" x14ac:dyDescent="0.15">
      <c r="A240" s="75">
        <v>1</v>
      </c>
      <c r="B240" s="59" t="s">
        <v>169</v>
      </c>
      <c r="C240" s="59" t="s">
        <v>157</v>
      </c>
      <c r="D240" s="59" t="s">
        <v>159</v>
      </c>
      <c r="E240" s="59" t="s">
        <v>157</v>
      </c>
      <c r="F240" s="59" t="s">
        <v>159</v>
      </c>
      <c r="G240" s="34"/>
      <c r="H240" s="34"/>
      <c r="I240" s="34"/>
      <c r="J240" s="34"/>
      <c r="K240" s="34"/>
      <c r="L240" s="34"/>
      <c r="M240" s="34"/>
    </row>
    <row r="241" spans="1:13" ht="16.5" customHeight="1" x14ac:dyDescent="0.15">
      <c r="A241" s="72" t="s">
        <v>164</v>
      </c>
      <c r="B241" s="62" t="s">
        <v>177</v>
      </c>
      <c r="C241" s="62" t="s">
        <v>193</v>
      </c>
      <c r="D241" s="62" t="s">
        <v>212</v>
      </c>
      <c r="E241" s="62" t="s">
        <v>193</v>
      </c>
      <c r="F241" s="62" t="s">
        <v>212</v>
      </c>
      <c r="G241" s="34"/>
      <c r="H241" s="34"/>
      <c r="I241" s="34"/>
      <c r="J241" s="34"/>
      <c r="K241" s="34"/>
      <c r="L241" s="34"/>
      <c r="M241" s="34"/>
    </row>
    <row r="242" spans="1:13" ht="16.5" customHeight="1" x14ac:dyDescent="0.15">
      <c r="A242" s="75">
        <v>2</v>
      </c>
      <c r="B242" s="59" t="s">
        <v>169</v>
      </c>
      <c r="C242" s="59" t="s">
        <v>157</v>
      </c>
      <c r="D242" s="59" t="s">
        <v>159</v>
      </c>
      <c r="E242" s="59" t="s">
        <v>157</v>
      </c>
      <c r="F242" s="59" t="s">
        <v>159</v>
      </c>
      <c r="G242" s="34"/>
      <c r="H242" s="34"/>
      <c r="I242" s="34"/>
      <c r="J242" s="34"/>
      <c r="K242" s="34"/>
      <c r="L242" s="34"/>
      <c r="M242" s="34"/>
    </row>
    <row r="243" spans="1:13" ht="16.5" customHeight="1" x14ac:dyDescent="0.15">
      <c r="A243" s="72" t="s">
        <v>166</v>
      </c>
      <c r="B243" s="62" t="s">
        <v>177</v>
      </c>
      <c r="C243" s="62" t="s">
        <v>193</v>
      </c>
      <c r="D243" s="62" t="s">
        <v>212</v>
      </c>
      <c r="E243" s="62" t="s">
        <v>193</v>
      </c>
      <c r="F243" s="62" t="s">
        <v>212</v>
      </c>
      <c r="G243" s="34"/>
      <c r="H243" s="34"/>
      <c r="I243" s="34"/>
      <c r="J243" s="34"/>
      <c r="K243" s="34"/>
      <c r="L243" s="34"/>
      <c r="M243" s="34"/>
    </row>
    <row r="244" spans="1:13" ht="16.5" customHeight="1" x14ac:dyDescent="0.15">
      <c r="A244" s="75">
        <v>3</v>
      </c>
      <c r="B244" s="61" t="s">
        <v>174</v>
      </c>
      <c r="C244" s="59" t="s">
        <v>157</v>
      </c>
      <c r="D244" s="59" t="s">
        <v>159</v>
      </c>
      <c r="E244" s="59" t="s">
        <v>157</v>
      </c>
      <c r="F244" s="59" t="s">
        <v>159</v>
      </c>
      <c r="G244" s="34"/>
      <c r="H244" s="34"/>
      <c r="I244" s="34"/>
      <c r="J244" s="34"/>
      <c r="K244" s="34"/>
      <c r="L244" s="34"/>
      <c r="M244" s="34"/>
    </row>
    <row r="245" spans="1:13" ht="16.5" customHeight="1" x14ac:dyDescent="0.15">
      <c r="A245" s="72" t="s">
        <v>167</v>
      </c>
      <c r="B245" s="62" t="s">
        <v>177</v>
      </c>
      <c r="C245" s="62" t="s">
        <v>193</v>
      </c>
      <c r="D245" s="62" t="s">
        <v>212</v>
      </c>
      <c r="E245" s="62" t="s">
        <v>193</v>
      </c>
      <c r="F245" s="62" t="s">
        <v>212</v>
      </c>
      <c r="G245" s="34"/>
      <c r="H245" s="34"/>
      <c r="I245" s="34"/>
      <c r="J245" s="34"/>
      <c r="K245" s="34"/>
      <c r="L245" s="34"/>
      <c r="M245" s="34"/>
    </row>
    <row r="246" spans="1:13" ht="16.5" customHeight="1" x14ac:dyDescent="0.15">
      <c r="A246" s="75">
        <v>4</v>
      </c>
      <c r="B246" s="61" t="s">
        <v>174</v>
      </c>
      <c r="C246" s="59" t="s">
        <v>157</v>
      </c>
      <c r="D246" s="59" t="s">
        <v>159</v>
      </c>
      <c r="E246" s="59" t="s">
        <v>157</v>
      </c>
      <c r="F246" s="59" t="s">
        <v>159</v>
      </c>
      <c r="G246" s="34"/>
      <c r="H246" s="34"/>
      <c r="I246" s="34"/>
      <c r="J246" s="34"/>
      <c r="K246" s="34"/>
      <c r="L246" s="34"/>
      <c r="M246" s="34"/>
    </row>
    <row r="247" spans="1:13" ht="16.5" customHeight="1" x14ac:dyDescent="0.15">
      <c r="A247" s="72" t="s">
        <v>163</v>
      </c>
      <c r="B247" s="62" t="s">
        <v>177</v>
      </c>
      <c r="C247" s="62" t="s">
        <v>193</v>
      </c>
      <c r="D247" s="62" t="s">
        <v>212</v>
      </c>
      <c r="E247" s="62" t="s">
        <v>193</v>
      </c>
      <c r="F247" s="62" t="s">
        <v>212</v>
      </c>
      <c r="G247" s="34"/>
      <c r="H247" s="34"/>
      <c r="I247" s="34"/>
      <c r="J247" s="34"/>
      <c r="K247" s="34"/>
      <c r="L247" s="34"/>
      <c r="M247" s="34"/>
    </row>
    <row r="248" spans="1:13" ht="16.5" customHeight="1" x14ac:dyDescent="0.15">
      <c r="A248" s="75">
        <v>5</v>
      </c>
      <c r="B248" s="59" t="s">
        <v>159</v>
      </c>
      <c r="C248" s="59" t="s">
        <v>157</v>
      </c>
      <c r="D248" s="59" t="s">
        <v>156</v>
      </c>
      <c r="E248" s="59" t="s">
        <v>157</v>
      </c>
      <c r="F248" s="59" t="s">
        <v>156</v>
      </c>
      <c r="G248" s="34"/>
      <c r="H248" s="34"/>
      <c r="I248" s="34"/>
      <c r="J248" s="34"/>
      <c r="K248" s="34"/>
      <c r="L248" s="34"/>
      <c r="M248" s="34"/>
    </row>
    <row r="249" spans="1:13" ht="16.5" customHeight="1" x14ac:dyDescent="0.15">
      <c r="A249" s="72" t="s">
        <v>165</v>
      </c>
      <c r="B249" s="62" t="s">
        <v>212</v>
      </c>
      <c r="C249" s="62" t="s">
        <v>195</v>
      </c>
      <c r="D249" s="62" t="s">
        <v>197</v>
      </c>
      <c r="E249" s="62" t="s">
        <v>195</v>
      </c>
      <c r="F249" s="62" t="s">
        <v>197</v>
      </c>
      <c r="G249" s="34"/>
      <c r="H249" s="34"/>
      <c r="I249" s="34"/>
      <c r="J249" s="34"/>
      <c r="K249" s="34"/>
      <c r="L249" s="34"/>
      <c r="M249" s="34"/>
    </row>
    <row r="250" spans="1:13" ht="16.5" customHeight="1" x14ac:dyDescent="0.15">
      <c r="A250" s="75">
        <v>6</v>
      </c>
      <c r="B250" s="59" t="s">
        <v>159</v>
      </c>
      <c r="C250" s="59" t="s">
        <v>157</v>
      </c>
      <c r="D250" s="59" t="s">
        <v>156</v>
      </c>
      <c r="E250" s="59" t="s">
        <v>157</v>
      </c>
      <c r="F250" s="59" t="s">
        <v>156</v>
      </c>
      <c r="G250" s="34"/>
      <c r="H250" s="34"/>
      <c r="I250" s="34"/>
      <c r="J250" s="34"/>
      <c r="K250" s="34"/>
      <c r="L250" s="34"/>
      <c r="M250" s="34"/>
    </row>
    <row r="251" spans="1:13" ht="16.5" customHeight="1" x14ac:dyDescent="0.15">
      <c r="A251" s="72" t="s">
        <v>160</v>
      </c>
      <c r="B251" s="62" t="s">
        <v>212</v>
      </c>
      <c r="C251" s="62" t="s">
        <v>195</v>
      </c>
      <c r="D251" s="62" t="s">
        <v>197</v>
      </c>
      <c r="E251" s="62" t="s">
        <v>195</v>
      </c>
      <c r="F251" s="62" t="s">
        <v>197</v>
      </c>
      <c r="G251" s="42"/>
      <c r="H251" s="42"/>
      <c r="I251" s="42"/>
      <c r="J251" s="42"/>
      <c r="K251" s="42"/>
      <c r="L251" s="34"/>
      <c r="M251" s="34"/>
    </row>
    <row r="252" spans="1:13" ht="16.5" customHeight="1" x14ac:dyDescent="0.15">
      <c r="A252" s="75">
        <v>7</v>
      </c>
      <c r="B252" s="59" t="s">
        <v>159</v>
      </c>
      <c r="C252" s="59" t="s">
        <v>157</v>
      </c>
      <c r="D252" s="59" t="s">
        <v>156</v>
      </c>
      <c r="E252" s="59" t="s">
        <v>157</v>
      </c>
      <c r="F252" s="59" t="s">
        <v>156</v>
      </c>
      <c r="G252" s="42"/>
      <c r="H252" s="42"/>
      <c r="I252" s="42"/>
      <c r="J252" s="42"/>
      <c r="K252" s="42"/>
      <c r="L252" s="34"/>
      <c r="M252" s="34"/>
    </row>
    <row r="253" spans="1:13" ht="16.5" customHeight="1" x14ac:dyDescent="0.15">
      <c r="A253" s="72" t="s">
        <v>161</v>
      </c>
      <c r="B253" s="62" t="s">
        <v>212</v>
      </c>
      <c r="C253" s="62" t="s">
        <v>195</v>
      </c>
      <c r="D253" s="62" t="s">
        <v>197</v>
      </c>
      <c r="E253" s="62" t="s">
        <v>195</v>
      </c>
      <c r="F253" s="62" t="s">
        <v>197</v>
      </c>
      <c r="G253" s="42"/>
      <c r="H253" s="42"/>
      <c r="I253" s="42"/>
      <c r="J253" s="42"/>
      <c r="K253" s="42"/>
      <c r="L253" s="34"/>
      <c r="M253" s="34"/>
    </row>
    <row r="254" spans="1:13" ht="16.5" customHeight="1" x14ac:dyDescent="0.15">
      <c r="A254" s="75">
        <v>8</v>
      </c>
      <c r="B254" s="59" t="s">
        <v>159</v>
      </c>
      <c r="C254" s="59" t="s">
        <v>157</v>
      </c>
      <c r="D254" s="59" t="s">
        <v>156</v>
      </c>
      <c r="E254" s="59" t="s">
        <v>157</v>
      </c>
      <c r="F254" s="59" t="s">
        <v>156</v>
      </c>
      <c r="G254" s="42"/>
      <c r="H254" s="42"/>
      <c r="I254" s="42"/>
      <c r="J254" s="42"/>
      <c r="K254" s="42"/>
      <c r="L254" s="34"/>
      <c r="M254" s="34"/>
    </row>
    <row r="255" spans="1:13" ht="16.5" customHeight="1" x14ac:dyDescent="0.15">
      <c r="A255" s="72" t="s">
        <v>168</v>
      </c>
      <c r="B255" s="62" t="s">
        <v>212</v>
      </c>
      <c r="C255" s="62" t="s">
        <v>195</v>
      </c>
      <c r="D255" s="86" t="s">
        <v>197</v>
      </c>
      <c r="E255" s="62" t="s">
        <v>195</v>
      </c>
      <c r="F255" s="62" t="s">
        <v>197</v>
      </c>
      <c r="G255" s="42"/>
      <c r="H255" s="42"/>
      <c r="I255" s="42"/>
      <c r="J255" s="42"/>
      <c r="K255" s="42"/>
      <c r="L255" s="34"/>
      <c r="M255" s="34"/>
    </row>
    <row r="256" spans="1:13" ht="16.5" customHeight="1" x14ac:dyDescent="0.15">
      <c r="A256" s="54" t="s">
        <v>138</v>
      </c>
      <c r="B256" s="54" t="s">
        <v>189</v>
      </c>
      <c r="C256" s="79" t="s">
        <v>182</v>
      </c>
      <c r="D256" s="54" t="s">
        <v>192</v>
      </c>
      <c r="E256" s="76" t="s">
        <v>190</v>
      </c>
      <c r="F256" s="54" t="s">
        <v>180</v>
      </c>
      <c r="G256" s="42"/>
      <c r="H256" s="42"/>
      <c r="I256" s="42"/>
      <c r="J256" s="42"/>
      <c r="K256" s="42"/>
      <c r="L256" s="34"/>
      <c r="M256" s="34"/>
    </row>
    <row r="257" spans="1:13" ht="16.5" customHeight="1" x14ac:dyDescent="0.15">
      <c r="A257" s="55" t="s">
        <v>191</v>
      </c>
      <c r="B257" s="56" t="s">
        <v>15</v>
      </c>
      <c r="C257" s="89" t="s">
        <v>20</v>
      </c>
      <c r="D257" s="56" t="s">
        <v>21</v>
      </c>
      <c r="E257" s="77" t="s">
        <v>22</v>
      </c>
      <c r="F257" s="56" t="s">
        <v>16</v>
      </c>
      <c r="G257" s="42"/>
      <c r="H257" s="42"/>
      <c r="I257" s="42"/>
      <c r="J257" s="42"/>
      <c r="K257" s="42"/>
      <c r="L257" s="34"/>
      <c r="M257" s="34"/>
    </row>
    <row r="258" spans="1:13" ht="16.5" customHeight="1" x14ac:dyDescent="0.15">
      <c r="A258" s="75">
        <v>1</v>
      </c>
      <c r="B258" s="59" t="s">
        <v>159</v>
      </c>
      <c r="C258" s="64" t="s">
        <v>157</v>
      </c>
      <c r="D258" s="59" t="s">
        <v>159</v>
      </c>
      <c r="E258" s="90" t="s">
        <v>157</v>
      </c>
      <c r="F258" s="59" t="s">
        <v>156</v>
      </c>
      <c r="G258" s="42"/>
      <c r="H258" s="42"/>
      <c r="I258" s="42"/>
      <c r="J258" s="42"/>
      <c r="K258" s="42"/>
      <c r="L258" s="34"/>
      <c r="M258" s="34"/>
    </row>
    <row r="259" spans="1:13" ht="16.5" customHeight="1" thickBot="1" x14ac:dyDescent="0.2">
      <c r="A259" s="72" t="s">
        <v>164</v>
      </c>
      <c r="B259" s="62" t="s">
        <v>178</v>
      </c>
      <c r="C259" s="67" t="s">
        <v>193</v>
      </c>
      <c r="D259" s="86" t="s">
        <v>178</v>
      </c>
      <c r="E259" s="69" t="s">
        <v>193</v>
      </c>
      <c r="F259" s="62" t="s">
        <v>178</v>
      </c>
      <c r="G259" s="42"/>
      <c r="H259" s="42"/>
      <c r="I259" s="42"/>
      <c r="J259" s="42"/>
      <c r="K259" s="42"/>
      <c r="L259" s="34"/>
      <c r="M259" s="34"/>
    </row>
    <row r="260" spans="1:13" ht="16.5" customHeight="1" x14ac:dyDescent="0.15">
      <c r="A260" s="75">
        <v>2</v>
      </c>
      <c r="B260" s="59" t="s">
        <v>159</v>
      </c>
      <c r="C260" s="64" t="s">
        <v>157</v>
      </c>
      <c r="D260" s="94" t="s">
        <v>159</v>
      </c>
      <c r="E260" s="90" t="s">
        <v>157</v>
      </c>
      <c r="F260" s="59" t="s">
        <v>156</v>
      </c>
      <c r="G260" s="42"/>
      <c r="H260" s="42"/>
      <c r="I260" s="42"/>
      <c r="J260" s="42"/>
      <c r="K260" s="42"/>
      <c r="L260" s="34"/>
      <c r="M260" s="34"/>
    </row>
    <row r="261" spans="1:13" ht="16.5" customHeight="1" x14ac:dyDescent="0.15">
      <c r="A261" s="72" t="s">
        <v>166</v>
      </c>
      <c r="B261" s="62" t="s">
        <v>178</v>
      </c>
      <c r="C261" s="67" t="s">
        <v>193</v>
      </c>
      <c r="D261" s="84" t="s">
        <v>178</v>
      </c>
      <c r="E261" s="69" t="s">
        <v>193</v>
      </c>
      <c r="F261" s="62" t="s">
        <v>178</v>
      </c>
      <c r="G261" s="42"/>
      <c r="H261" s="42"/>
      <c r="I261" s="42"/>
      <c r="J261" s="42"/>
      <c r="K261" s="42"/>
      <c r="L261" s="34"/>
      <c r="M261" s="34"/>
    </row>
    <row r="262" spans="1:13" ht="16.5" customHeight="1" x14ac:dyDescent="0.15">
      <c r="A262" s="75">
        <v>3</v>
      </c>
      <c r="B262" s="59" t="s">
        <v>159</v>
      </c>
      <c r="C262" s="64" t="s">
        <v>157</v>
      </c>
      <c r="D262" s="92" t="s">
        <v>227</v>
      </c>
      <c r="E262" s="90" t="s">
        <v>157</v>
      </c>
      <c r="F262" s="59" t="s">
        <v>156</v>
      </c>
      <c r="G262" s="42"/>
      <c r="H262" s="42"/>
      <c r="I262" s="42"/>
      <c r="J262" s="42"/>
      <c r="K262" s="42"/>
      <c r="L262" s="34"/>
      <c r="M262" s="34"/>
    </row>
    <row r="263" spans="1:13" ht="16.5" customHeight="1" x14ac:dyDescent="0.15">
      <c r="A263" s="72" t="s">
        <v>167</v>
      </c>
      <c r="B263" s="62" t="s">
        <v>178</v>
      </c>
      <c r="C263" s="67" t="s">
        <v>193</v>
      </c>
      <c r="D263" s="84" t="s">
        <v>178</v>
      </c>
      <c r="E263" s="69" t="s">
        <v>193</v>
      </c>
      <c r="F263" s="62" t="s">
        <v>178</v>
      </c>
      <c r="G263" s="42"/>
      <c r="H263" s="42"/>
      <c r="I263" s="42"/>
      <c r="J263" s="42"/>
      <c r="K263" s="42"/>
      <c r="L263" s="34"/>
      <c r="M263" s="34"/>
    </row>
    <row r="264" spans="1:13" ht="16.5" customHeight="1" x14ac:dyDescent="0.15">
      <c r="A264" s="75">
        <v>4</v>
      </c>
      <c r="B264" s="59" t="s">
        <v>159</v>
      </c>
      <c r="C264" s="64" t="s">
        <v>157</v>
      </c>
      <c r="D264" s="92" t="s">
        <v>156</v>
      </c>
      <c r="E264" s="90" t="s">
        <v>157</v>
      </c>
      <c r="F264" s="59" t="s">
        <v>156</v>
      </c>
      <c r="G264" s="42"/>
      <c r="H264" s="42"/>
      <c r="I264" s="42"/>
      <c r="J264" s="42"/>
      <c r="K264" s="42"/>
      <c r="L264" s="34"/>
      <c r="M264" s="34"/>
    </row>
    <row r="265" spans="1:13" ht="16.5" customHeight="1" thickBot="1" x14ac:dyDescent="0.2">
      <c r="A265" s="72" t="s">
        <v>163</v>
      </c>
      <c r="B265" s="62" t="s">
        <v>178</v>
      </c>
      <c r="C265" s="67" t="s">
        <v>193</v>
      </c>
      <c r="D265" s="85" t="s">
        <v>178</v>
      </c>
      <c r="E265" s="69" t="s">
        <v>193</v>
      </c>
      <c r="F265" s="62" t="s">
        <v>178</v>
      </c>
      <c r="G265" s="42"/>
      <c r="H265" s="42"/>
      <c r="I265" s="42"/>
      <c r="J265" s="42"/>
      <c r="K265" s="42"/>
      <c r="L265" s="34"/>
      <c r="M265" s="34"/>
    </row>
    <row r="266" spans="1:13" ht="16.5" customHeight="1" x14ac:dyDescent="0.15">
      <c r="A266" s="75">
        <v>5</v>
      </c>
      <c r="B266" s="59" t="s">
        <v>156</v>
      </c>
      <c r="C266" s="59" t="s">
        <v>157</v>
      </c>
      <c r="D266" s="91" t="s">
        <v>156</v>
      </c>
      <c r="E266" s="59" t="s">
        <v>157</v>
      </c>
      <c r="F266" s="59" t="s">
        <v>156</v>
      </c>
      <c r="G266" s="34"/>
      <c r="H266" s="34"/>
      <c r="I266" s="34"/>
      <c r="J266" s="34"/>
      <c r="K266" s="34"/>
      <c r="L266" s="34"/>
      <c r="M266" s="34"/>
    </row>
    <row r="267" spans="1:13" ht="16.5" customHeight="1" x14ac:dyDescent="0.15">
      <c r="A267" s="72" t="s">
        <v>165</v>
      </c>
      <c r="B267" s="62" t="s">
        <v>197</v>
      </c>
      <c r="C267" s="62" t="s">
        <v>195</v>
      </c>
      <c r="D267" s="62" t="s">
        <v>197</v>
      </c>
      <c r="E267" s="62" t="s">
        <v>195</v>
      </c>
      <c r="F267" s="62" t="s">
        <v>197</v>
      </c>
      <c r="G267" s="34"/>
      <c r="H267" s="34"/>
      <c r="I267" s="34"/>
      <c r="J267" s="34"/>
      <c r="K267" s="34"/>
      <c r="L267" s="34"/>
      <c r="M267" s="34"/>
    </row>
    <row r="268" spans="1:13" ht="16.5" customHeight="1" x14ac:dyDescent="0.15">
      <c r="A268" s="75">
        <v>6</v>
      </c>
      <c r="B268" s="59" t="s">
        <v>156</v>
      </c>
      <c r="C268" s="59" t="s">
        <v>157</v>
      </c>
      <c r="D268" s="59" t="s">
        <v>156</v>
      </c>
      <c r="E268" s="59" t="s">
        <v>157</v>
      </c>
      <c r="F268" s="59" t="s">
        <v>156</v>
      </c>
      <c r="G268" s="34"/>
      <c r="H268" s="34"/>
      <c r="I268" s="34"/>
      <c r="J268" s="34"/>
      <c r="K268" s="34"/>
      <c r="L268" s="34"/>
      <c r="M268" s="34"/>
    </row>
    <row r="269" spans="1:13" ht="16.5" customHeight="1" x14ac:dyDescent="0.15">
      <c r="A269" s="72" t="s">
        <v>160</v>
      </c>
      <c r="B269" s="62" t="s">
        <v>197</v>
      </c>
      <c r="C269" s="62" t="s">
        <v>195</v>
      </c>
      <c r="D269" s="62" t="s">
        <v>197</v>
      </c>
      <c r="E269" s="62" t="s">
        <v>195</v>
      </c>
      <c r="F269" s="62" t="s">
        <v>197</v>
      </c>
      <c r="G269" s="34"/>
      <c r="H269" s="34"/>
      <c r="I269" s="34"/>
      <c r="J269" s="34"/>
      <c r="K269" s="34"/>
      <c r="L269" s="34"/>
      <c r="M269" s="34"/>
    </row>
    <row r="270" spans="1:13" ht="16.5" customHeight="1" x14ac:dyDescent="0.15">
      <c r="A270" s="75">
        <v>7</v>
      </c>
      <c r="B270" s="59" t="s">
        <v>156</v>
      </c>
      <c r="C270" s="59" t="s">
        <v>157</v>
      </c>
      <c r="D270" s="59" t="s">
        <v>156</v>
      </c>
      <c r="E270" s="59" t="s">
        <v>157</v>
      </c>
      <c r="F270" s="59" t="s">
        <v>156</v>
      </c>
      <c r="G270" s="34"/>
      <c r="H270" s="34"/>
      <c r="I270" s="34"/>
      <c r="J270" s="34"/>
      <c r="K270" s="34"/>
      <c r="L270" s="34"/>
      <c r="M270" s="34"/>
    </row>
    <row r="271" spans="1:13" ht="16.5" customHeight="1" x14ac:dyDescent="0.15">
      <c r="A271" s="72" t="s">
        <v>161</v>
      </c>
      <c r="B271" s="62" t="s">
        <v>197</v>
      </c>
      <c r="C271" s="62" t="s">
        <v>195</v>
      </c>
      <c r="D271" s="62" t="s">
        <v>197</v>
      </c>
      <c r="E271" s="62" t="s">
        <v>195</v>
      </c>
      <c r="F271" s="62" t="s">
        <v>197</v>
      </c>
      <c r="G271" s="34"/>
      <c r="H271" s="34"/>
      <c r="I271" s="34"/>
      <c r="J271" s="34"/>
      <c r="K271" s="34"/>
      <c r="L271" s="34"/>
      <c r="M271" s="34"/>
    </row>
    <row r="272" spans="1:13" ht="16.5" customHeight="1" x14ac:dyDescent="0.15">
      <c r="A272" s="75">
        <v>8</v>
      </c>
      <c r="B272" s="59" t="s">
        <v>156</v>
      </c>
      <c r="C272" s="59" t="s">
        <v>157</v>
      </c>
      <c r="D272" s="59" t="s">
        <v>156</v>
      </c>
      <c r="E272" s="59" t="s">
        <v>157</v>
      </c>
      <c r="F272" s="59" t="s">
        <v>156</v>
      </c>
      <c r="G272" s="34"/>
      <c r="H272" s="34"/>
      <c r="I272" s="34"/>
      <c r="J272" s="34"/>
      <c r="K272" s="34"/>
      <c r="L272" s="34"/>
      <c r="M272" s="34"/>
    </row>
    <row r="273" spans="1:13" ht="16.5" customHeight="1" x14ac:dyDescent="0.15">
      <c r="A273" s="72" t="s">
        <v>168</v>
      </c>
      <c r="B273" s="62" t="s">
        <v>197</v>
      </c>
      <c r="C273" s="62" t="s">
        <v>195</v>
      </c>
      <c r="D273" s="62" t="s">
        <v>197</v>
      </c>
      <c r="E273" s="62" t="s">
        <v>195</v>
      </c>
      <c r="F273" s="62" t="s">
        <v>197</v>
      </c>
      <c r="G273" s="34"/>
      <c r="H273" s="34"/>
      <c r="I273" s="34"/>
      <c r="J273" s="34"/>
      <c r="K273" s="34"/>
      <c r="L273" s="34"/>
      <c r="M273" s="34"/>
    </row>
    <row r="274" spans="1:13" ht="16.5" customHeight="1" x14ac:dyDescent="0.15">
      <c r="A274" s="54" t="s">
        <v>128</v>
      </c>
      <c r="B274" s="54" t="s">
        <v>189</v>
      </c>
      <c r="C274" s="54" t="s">
        <v>182</v>
      </c>
      <c r="D274" s="54" t="s">
        <v>192</v>
      </c>
      <c r="E274" s="54" t="s">
        <v>190</v>
      </c>
      <c r="F274" s="54" t="s">
        <v>180</v>
      </c>
      <c r="G274" s="34"/>
      <c r="H274" s="34"/>
      <c r="I274" s="34"/>
      <c r="J274" s="34"/>
      <c r="K274" s="34"/>
      <c r="L274" s="34"/>
      <c r="M274" s="34"/>
    </row>
    <row r="275" spans="1:13" ht="16.5" customHeight="1" x14ac:dyDescent="0.15">
      <c r="A275" s="55" t="s">
        <v>191</v>
      </c>
      <c r="B275" s="56" t="s">
        <v>34</v>
      </c>
      <c r="C275" s="56" t="s">
        <v>40</v>
      </c>
      <c r="D275" s="56" t="s">
        <v>35</v>
      </c>
      <c r="E275" s="56" t="s">
        <v>39</v>
      </c>
      <c r="F275" s="56" t="s">
        <v>32</v>
      </c>
      <c r="G275" s="34"/>
      <c r="H275" s="34"/>
      <c r="I275" s="34"/>
      <c r="J275" s="34"/>
      <c r="K275" s="34"/>
      <c r="L275" s="34"/>
      <c r="M275" s="34"/>
    </row>
    <row r="276" spans="1:13" ht="16.5" customHeight="1" x14ac:dyDescent="0.15">
      <c r="A276" s="75">
        <v>1</v>
      </c>
      <c r="B276" s="59" t="s">
        <v>156</v>
      </c>
      <c r="C276" s="59" t="s">
        <v>157</v>
      </c>
      <c r="D276" s="59" t="s">
        <v>156</v>
      </c>
      <c r="E276" s="59" t="s">
        <v>157</v>
      </c>
      <c r="F276" s="59" t="s">
        <v>156</v>
      </c>
      <c r="G276" s="34"/>
      <c r="H276" s="34"/>
      <c r="I276" s="34"/>
      <c r="J276" s="34"/>
      <c r="K276" s="34"/>
      <c r="L276" s="34"/>
      <c r="M276" s="34"/>
    </row>
    <row r="277" spans="1:13" ht="16.5" customHeight="1" x14ac:dyDescent="0.15">
      <c r="A277" s="72" t="s">
        <v>164</v>
      </c>
      <c r="B277" s="62" t="s">
        <v>178</v>
      </c>
      <c r="C277" s="62" t="s">
        <v>193</v>
      </c>
      <c r="D277" s="62" t="s">
        <v>200</v>
      </c>
      <c r="E277" s="62" t="s">
        <v>193</v>
      </c>
      <c r="F277" s="62" t="s">
        <v>200</v>
      </c>
      <c r="G277" s="34"/>
      <c r="H277" s="34"/>
      <c r="I277" s="34"/>
      <c r="J277" s="34"/>
      <c r="K277" s="34"/>
      <c r="L277" s="34"/>
      <c r="M277" s="34"/>
    </row>
    <row r="278" spans="1:13" ht="16.5" customHeight="1" x14ac:dyDescent="0.15">
      <c r="A278" s="75">
        <v>2</v>
      </c>
      <c r="B278" s="59" t="s">
        <v>156</v>
      </c>
      <c r="C278" s="59" t="s">
        <v>157</v>
      </c>
      <c r="D278" s="59" t="s">
        <v>156</v>
      </c>
      <c r="E278" s="59" t="s">
        <v>157</v>
      </c>
      <c r="F278" s="59" t="s">
        <v>156</v>
      </c>
      <c r="G278" s="34"/>
      <c r="H278" s="34"/>
      <c r="I278" s="34"/>
      <c r="J278" s="34"/>
      <c r="K278" s="34"/>
      <c r="L278" s="34"/>
      <c r="M278" s="34"/>
    </row>
    <row r="279" spans="1:13" ht="16.5" customHeight="1" x14ac:dyDescent="0.15">
      <c r="A279" s="72" t="s">
        <v>166</v>
      </c>
      <c r="B279" s="62" t="s">
        <v>178</v>
      </c>
      <c r="C279" s="62" t="s">
        <v>193</v>
      </c>
      <c r="D279" s="62" t="s">
        <v>200</v>
      </c>
      <c r="E279" s="62" t="s">
        <v>193</v>
      </c>
      <c r="F279" s="62" t="s">
        <v>200</v>
      </c>
      <c r="G279" s="34"/>
      <c r="H279" s="34"/>
      <c r="I279" s="34"/>
      <c r="J279" s="34"/>
      <c r="K279" s="34"/>
      <c r="L279" s="34"/>
      <c r="M279" s="34"/>
    </row>
    <row r="280" spans="1:13" ht="16.5" customHeight="1" x14ac:dyDescent="0.15">
      <c r="A280" s="75">
        <v>3</v>
      </c>
      <c r="B280" s="59" t="s">
        <v>156</v>
      </c>
      <c r="C280" s="59" t="s">
        <v>157</v>
      </c>
      <c r="D280" s="59" t="s">
        <v>156</v>
      </c>
      <c r="E280" s="59" t="s">
        <v>157</v>
      </c>
      <c r="F280" s="59" t="s">
        <v>156</v>
      </c>
      <c r="G280" s="34"/>
      <c r="H280" s="34"/>
      <c r="I280" s="34"/>
      <c r="J280" s="34"/>
      <c r="K280" s="34"/>
      <c r="L280" s="34"/>
      <c r="M280" s="34"/>
    </row>
    <row r="281" spans="1:13" ht="16.5" customHeight="1" x14ac:dyDescent="0.15">
      <c r="A281" s="72" t="s">
        <v>167</v>
      </c>
      <c r="B281" s="62" t="s">
        <v>178</v>
      </c>
      <c r="C281" s="62" t="s">
        <v>193</v>
      </c>
      <c r="D281" s="62" t="s">
        <v>200</v>
      </c>
      <c r="E281" s="62" t="s">
        <v>193</v>
      </c>
      <c r="F281" s="62" t="s">
        <v>200</v>
      </c>
      <c r="G281" s="34"/>
      <c r="H281" s="34"/>
      <c r="I281" s="34"/>
      <c r="J281" s="34"/>
      <c r="K281" s="34"/>
      <c r="L281" s="34"/>
      <c r="M281" s="34"/>
    </row>
    <row r="282" spans="1:13" ht="16.5" customHeight="1" x14ac:dyDescent="0.15">
      <c r="A282" s="75">
        <v>4</v>
      </c>
      <c r="B282" s="59" t="s">
        <v>156</v>
      </c>
      <c r="C282" s="59" t="s">
        <v>157</v>
      </c>
      <c r="D282" s="59" t="s">
        <v>156</v>
      </c>
      <c r="E282" s="59" t="s">
        <v>157</v>
      </c>
      <c r="F282" s="59" t="s">
        <v>156</v>
      </c>
      <c r="G282" s="34"/>
      <c r="H282" s="34"/>
      <c r="I282" s="34"/>
      <c r="J282" s="34"/>
      <c r="K282" s="34"/>
      <c r="L282" s="34"/>
      <c r="M282" s="34"/>
    </row>
    <row r="283" spans="1:13" ht="16.5" customHeight="1" x14ac:dyDescent="0.15">
      <c r="A283" s="72" t="s">
        <v>163</v>
      </c>
      <c r="B283" s="62" t="s">
        <v>178</v>
      </c>
      <c r="C283" s="62" t="s">
        <v>193</v>
      </c>
      <c r="D283" s="62" t="s">
        <v>200</v>
      </c>
      <c r="E283" s="62" t="s">
        <v>193</v>
      </c>
      <c r="F283" s="62" t="s">
        <v>200</v>
      </c>
      <c r="G283" s="34"/>
      <c r="H283" s="34"/>
      <c r="I283" s="34"/>
      <c r="J283" s="34"/>
      <c r="K283" s="34"/>
      <c r="L283" s="34"/>
      <c r="M283" s="34"/>
    </row>
    <row r="284" spans="1:13" ht="16.5" customHeight="1" x14ac:dyDescent="0.15">
      <c r="A284" s="75">
        <v>5</v>
      </c>
      <c r="B284" s="59" t="s">
        <v>156</v>
      </c>
      <c r="C284" s="59" t="s">
        <v>157</v>
      </c>
      <c r="D284" s="59" t="s">
        <v>156</v>
      </c>
      <c r="E284" s="59" t="s">
        <v>156</v>
      </c>
      <c r="F284" s="59" t="s">
        <v>156</v>
      </c>
      <c r="G284" s="34"/>
      <c r="H284" s="34"/>
      <c r="I284" s="34"/>
      <c r="J284" s="34"/>
      <c r="K284" s="34"/>
      <c r="L284" s="34"/>
      <c r="M284" s="34"/>
    </row>
    <row r="285" spans="1:13" ht="16.5" customHeight="1" x14ac:dyDescent="0.15">
      <c r="A285" s="72" t="s">
        <v>165</v>
      </c>
      <c r="B285" s="62" t="s">
        <v>197</v>
      </c>
      <c r="C285" s="62" t="s">
        <v>195</v>
      </c>
      <c r="D285" s="62" t="s">
        <v>200</v>
      </c>
      <c r="E285" s="62" t="s">
        <v>200</v>
      </c>
      <c r="F285" s="62" t="s">
        <v>200</v>
      </c>
      <c r="G285" s="34"/>
      <c r="H285" s="34"/>
      <c r="I285" s="34"/>
      <c r="J285" s="34"/>
      <c r="K285" s="34"/>
      <c r="L285" s="34"/>
      <c r="M285" s="34"/>
    </row>
    <row r="286" spans="1:13" ht="16.5" customHeight="1" x14ac:dyDescent="0.15">
      <c r="A286" s="75">
        <v>6</v>
      </c>
      <c r="B286" s="59" t="s">
        <v>156</v>
      </c>
      <c r="C286" s="59" t="s">
        <v>157</v>
      </c>
      <c r="D286" s="59" t="s">
        <v>156</v>
      </c>
      <c r="E286" s="59" t="s">
        <v>156</v>
      </c>
      <c r="F286" s="59" t="s">
        <v>156</v>
      </c>
      <c r="G286" s="34"/>
      <c r="H286" s="34"/>
      <c r="I286" s="34"/>
      <c r="J286" s="34"/>
      <c r="K286" s="34"/>
      <c r="L286" s="34"/>
      <c r="M286" s="34"/>
    </row>
    <row r="287" spans="1:13" ht="16.5" customHeight="1" x14ac:dyDescent="0.15">
      <c r="A287" s="72" t="s">
        <v>160</v>
      </c>
      <c r="B287" s="62" t="s">
        <v>197</v>
      </c>
      <c r="C287" s="62" t="s">
        <v>195</v>
      </c>
      <c r="D287" s="62" t="s">
        <v>200</v>
      </c>
      <c r="E287" s="62" t="s">
        <v>200</v>
      </c>
      <c r="F287" s="62" t="s">
        <v>200</v>
      </c>
      <c r="G287" s="34"/>
      <c r="H287" s="34"/>
      <c r="I287" s="34"/>
      <c r="J287" s="34"/>
      <c r="K287" s="34"/>
      <c r="L287" s="34"/>
      <c r="M287" s="34"/>
    </row>
    <row r="288" spans="1:13" ht="16.5" customHeight="1" x14ac:dyDescent="0.15">
      <c r="A288" s="75">
        <v>7</v>
      </c>
      <c r="B288" s="59" t="s">
        <v>156</v>
      </c>
      <c r="C288" s="59" t="s">
        <v>157</v>
      </c>
      <c r="D288" s="59" t="s">
        <v>156</v>
      </c>
      <c r="E288" s="59" t="s">
        <v>156</v>
      </c>
      <c r="F288" s="59" t="s">
        <v>156</v>
      </c>
      <c r="G288" s="34"/>
      <c r="H288" s="34"/>
      <c r="I288" s="34"/>
      <c r="J288" s="34"/>
      <c r="K288" s="34"/>
      <c r="L288" s="34"/>
      <c r="M288" s="34"/>
    </row>
    <row r="289" spans="1:13" ht="16.5" customHeight="1" x14ac:dyDescent="0.15">
      <c r="A289" s="72" t="s">
        <v>161</v>
      </c>
      <c r="B289" s="62" t="s">
        <v>197</v>
      </c>
      <c r="C289" s="62" t="s">
        <v>195</v>
      </c>
      <c r="D289" s="62" t="s">
        <v>200</v>
      </c>
      <c r="E289" s="62" t="s">
        <v>200</v>
      </c>
      <c r="F289" s="62" t="s">
        <v>200</v>
      </c>
      <c r="G289" s="34"/>
      <c r="H289" s="34"/>
      <c r="I289" s="34"/>
      <c r="J289" s="34"/>
      <c r="K289" s="34"/>
      <c r="L289" s="34"/>
      <c r="M289" s="34"/>
    </row>
    <row r="290" spans="1:13" ht="16.5" customHeight="1" x14ac:dyDescent="0.15">
      <c r="A290" s="75">
        <v>8</v>
      </c>
      <c r="B290" s="59" t="s">
        <v>156</v>
      </c>
      <c r="C290" s="59" t="s">
        <v>157</v>
      </c>
      <c r="D290" s="59" t="s">
        <v>156</v>
      </c>
      <c r="E290" s="59" t="s">
        <v>156</v>
      </c>
      <c r="F290" s="59" t="s">
        <v>156</v>
      </c>
      <c r="G290" s="34"/>
      <c r="H290" s="34"/>
      <c r="I290" s="34"/>
      <c r="J290" s="34"/>
      <c r="K290" s="34"/>
      <c r="L290" s="34"/>
      <c r="M290" s="34"/>
    </row>
    <row r="291" spans="1:13" ht="16.5" customHeight="1" x14ac:dyDescent="0.15">
      <c r="A291" s="72" t="s">
        <v>168</v>
      </c>
      <c r="B291" s="62" t="s">
        <v>197</v>
      </c>
      <c r="C291" s="62" t="s">
        <v>195</v>
      </c>
      <c r="D291" s="86" t="s">
        <v>200</v>
      </c>
      <c r="E291" s="62" t="s">
        <v>200</v>
      </c>
      <c r="F291" s="62" t="s">
        <v>200</v>
      </c>
      <c r="G291" s="34"/>
      <c r="H291" s="34"/>
      <c r="I291" s="34"/>
      <c r="J291" s="34"/>
      <c r="K291" s="34"/>
      <c r="L291" s="34"/>
      <c r="M291" s="34"/>
    </row>
    <row r="292" spans="1:13" ht="16.5" customHeight="1" x14ac:dyDescent="0.15">
      <c r="A292" s="54" t="s">
        <v>135</v>
      </c>
      <c r="B292" s="54" t="s">
        <v>189</v>
      </c>
      <c r="C292" s="79" t="s">
        <v>182</v>
      </c>
      <c r="D292" s="54" t="s">
        <v>192</v>
      </c>
      <c r="E292" s="76" t="s">
        <v>190</v>
      </c>
      <c r="F292" s="54" t="s">
        <v>180</v>
      </c>
      <c r="G292" s="34"/>
      <c r="H292" s="34"/>
      <c r="I292" s="34"/>
      <c r="J292" s="34"/>
      <c r="K292" s="34"/>
      <c r="L292" s="34"/>
      <c r="M292" s="34"/>
    </row>
    <row r="293" spans="1:13" ht="16.5" customHeight="1" x14ac:dyDescent="0.15">
      <c r="A293" s="55" t="s">
        <v>191</v>
      </c>
      <c r="B293" s="56" t="s">
        <v>36</v>
      </c>
      <c r="C293" s="89" t="s">
        <v>41</v>
      </c>
      <c r="D293" s="56" t="s">
        <v>37</v>
      </c>
      <c r="E293" s="77" t="s">
        <v>38</v>
      </c>
      <c r="F293" s="56" t="s">
        <v>42</v>
      </c>
      <c r="G293" s="34"/>
      <c r="H293" s="34"/>
      <c r="I293" s="34"/>
      <c r="J293" s="34"/>
      <c r="K293" s="34"/>
      <c r="L293" s="34"/>
      <c r="M293" s="34"/>
    </row>
    <row r="294" spans="1:13" ht="16.5" customHeight="1" x14ac:dyDescent="0.15">
      <c r="A294" s="75">
        <v>1</v>
      </c>
      <c r="B294" s="59" t="s">
        <v>156</v>
      </c>
      <c r="C294" s="64" t="s">
        <v>176</v>
      </c>
      <c r="D294" s="59" t="s">
        <v>156</v>
      </c>
      <c r="E294" s="90" t="s">
        <v>176</v>
      </c>
      <c r="F294" s="59" t="s">
        <v>156</v>
      </c>
      <c r="G294" s="34"/>
      <c r="H294" s="34"/>
      <c r="I294" s="31"/>
      <c r="J294" s="31"/>
      <c r="K294" s="34"/>
      <c r="L294" s="34"/>
      <c r="M294" s="34"/>
    </row>
    <row r="295" spans="1:13" ht="16.5" customHeight="1" x14ac:dyDescent="0.15">
      <c r="A295" s="72" t="s">
        <v>164</v>
      </c>
      <c r="B295" s="62" t="s">
        <v>178</v>
      </c>
      <c r="C295" s="67" t="s">
        <v>177</v>
      </c>
      <c r="D295" s="62" t="s">
        <v>178</v>
      </c>
      <c r="E295" s="69" t="s">
        <v>212</v>
      </c>
      <c r="F295" s="62" t="s">
        <v>178</v>
      </c>
      <c r="G295" s="34"/>
      <c r="H295" s="34"/>
      <c r="I295" s="31"/>
      <c r="J295" s="31"/>
      <c r="K295" s="34"/>
      <c r="L295" s="34"/>
      <c r="M295" s="34"/>
    </row>
    <row r="296" spans="1:13" ht="16.5" customHeight="1" x14ac:dyDescent="0.15">
      <c r="A296" s="75">
        <v>2</v>
      </c>
      <c r="B296" s="59" t="s">
        <v>156</v>
      </c>
      <c r="C296" s="64" t="s">
        <v>176</v>
      </c>
      <c r="D296" s="59" t="s">
        <v>156</v>
      </c>
      <c r="E296" s="90" t="s">
        <v>176</v>
      </c>
      <c r="F296" s="57" t="s">
        <v>174</v>
      </c>
      <c r="G296" s="34"/>
      <c r="H296" s="34"/>
      <c r="I296" s="31"/>
      <c r="J296" s="31"/>
      <c r="K296" s="34"/>
      <c r="L296" s="34"/>
      <c r="M296" s="34"/>
    </row>
    <row r="297" spans="1:13" ht="16.5" customHeight="1" x14ac:dyDescent="0.15">
      <c r="A297" s="72" t="s">
        <v>166</v>
      </c>
      <c r="B297" s="62" t="s">
        <v>178</v>
      </c>
      <c r="C297" s="67" t="s">
        <v>177</v>
      </c>
      <c r="D297" s="62" t="s">
        <v>178</v>
      </c>
      <c r="E297" s="69" t="s">
        <v>212</v>
      </c>
      <c r="F297" s="62" t="s">
        <v>178</v>
      </c>
      <c r="G297" s="34"/>
      <c r="H297" s="34"/>
      <c r="I297" s="31"/>
      <c r="J297" s="31"/>
      <c r="K297" s="34"/>
      <c r="L297" s="34"/>
      <c r="M297" s="34"/>
    </row>
    <row r="298" spans="1:13" ht="16.5" customHeight="1" x14ac:dyDescent="0.15">
      <c r="A298" s="75">
        <v>3</v>
      </c>
      <c r="B298" s="59" t="s">
        <v>156</v>
      </c>
      <c r="C298" s="64" t="s">
        <v>176</v>
      </c>
      <c r="D298" s="59" t="s">
        <v>156</v>
      </c>
      <c r="E298" s="90" t="s">
        <v>176</v>
      </c>
      <c r="F298" s="57" t="s">
        <v>174</v>
      </c>
      <c r="G298" s="34"/>
      <c r="H298" s="34"/>
      <c r="I298" s="31"/>
      <c r="J298" s="31"/>
      <c r="K298" s="34"/>
      <c r="L298" s="34"/>
      <c r="M298" s="34"/>
    </row>
    <row r="299" spans="1:13" ht="16.5" customHeight="1" x14ac:dyDescent="0.15">
      <c r="A299" s="72" t="s">
        <v>167</v>
      </c>
      <c r="B299" s="62" t="s">
        <v>178</v>
      </c>
      <c r="C299" s="67" t="s">
        <v>177</v>
      </c>
      <c r="D299" s="62" t="s">
        <v>178</v>
      </c>
      <c r="E299" s="69" t="s">
        <v>212</v>
      </c>
      <c r="F299" s="62" t="s">
        <v>178</v>
      </c>
      <c r="G299" s="34"/>
      <c r="H299" s="34"/>
      <c r="I299" s="31"/>
      <c r="J299" s="31"/>
      <c r="K299" s="34"/>
      <c r="L299" s="34"/>
      <c r="M299" s="34"/>
    </row>
    <row r="300" spans="1:13" ht="16.5" customHeight="1" x14ac:dyDescent="0.15">
      <c r="A300" s="75">
        <v>4</v>
      </c>
      <c r="B300" s="59" t="s">
        <v>156</v>
      </c>
      <c r="C300" s="64" t="s">
        <v>176</v>
      </c>
      <c r="D300" s="59" t="s">
        <v>156</v>
      </c>
      <c r="E300" s="90" t="s">
        <v>176</v>
      </c>
      <c r="F300" s="59" t="s">
        <v>176</v>
      </c>
      <c r="G300" s="34"/>
      <c r="H300" s="34"/>
      <c r="I300" s="31"/>
      <c r="J300" s="31"/>
      <c r="K300" s="34"/>
      <c r="L300" s="34"/>
      <c r="M300" s="34"/>
    </row>
    <row r="301" spans="1:13" ht="16.5" customHeight="1" x14ac:dyDescent="0.15">
      <c r="A301" s="72" t="s">
        <v>163</v>
      </c>
      <c r="B301" s="62" t="s">
        <v>178</v>
      </c>
      <c r="C301" s="67" t="s">
        <v>177</v>
      </c>
      <c r="D301" s="62" t="s">
        <v>178</v>
      </c>
      <c r="E301" s="69" t="s">
        <v>212</v>
      </c>
      <c r="F301" s="62" t="s">
        <v>178</v>
      </c>
      <c r="G301" s="34"/>
      <c r="H301" s="34"/>
      <c r="I301" s="31"/>
      <c r="J301" s="31"/>
      <c r="K301" s="34"/>
      <c r="L301" s="34"/>
      <c r="M301" s="34"/>
    </row>
    <row r="302" spans="1:13" ht="16.5" customHeight="1" x14ac:dyDescent="0.15">
      <c r="A302" s="75">
        <v>5</v>
      </c>
      <c r="B302" s="59" t="s">
        <v>176</v>
      </c>
      <c r="C302" s="59" t="s">
        <v>156</v>
      </c>
      <c r="D302" s="91" t="s">
        <v>176</v>
      </c>
      <c r="E302" s="59" t="s">
        <v>156</v>
      </c>
      <c r="F302" s="59" t="s">
        <v>176</v>
      </c>
      <c r="G302" s="34"/>
      <c r="H302" s="34"/>
      <c r="I302" s="31"/>
      <c r="J302" s="31"/>
      <c r="K302" s="34"/>
      <c r="L302" s="34"/>
      <c r="M302" s="34"/>
    </row>
    <row r="303" spans="1:13" ht="16.5" customHeight="1" x14ac:dyDescent="0.15">
      <c r="A303" s="72" t="s">
        <v>165</v>
      </c>
      <c r="B303" s="62" t="s">
        <v>177</v>
      </c>
      <c r="C303" s="62" t="s">
        <v>178</v>
      </c>
      <c r="D303" s="62" t="s">
        <v>177</v>
      </c>
      <c r="E303" s="62" t="s">
        <v>178</v>
      </c>
      <c r="F303" s="62" t="s">
        <v>177</v>
      </c>
      <c r="G303" s="34"/>
      <c r="H303" s="34"/>
      <c r="I303" s="31"/>
      <c r="J303" s="31"/>
      <c r="K303" s="34"/>
      <c r="L303" s="34"/>
      <c r="M303" s="34"/>
    </row>
    <row r="304" spans="1:13" ht="16.5" customHeight="1" x14ac:dyDescent="0.15">
      <c r="A304" s="75">
        <v>6</v>
      </c>
      <c r="B304" s="59" t="s">
        <v>176</v>
      </c>
      <c r="C304" s="59" t="s">
        <v>156</v>
      </c>
      <c r="D304" s="59" t="s">
        <v>176</v>
      </c>
      <c r="E304" s="59" t="s">
        <v>156</v>
      </c>
      <c r="F304" s="59" t="s">
        <v>176</v>
      </c>
      <c r="G304" s="34"/>
      <c r="H304" s="34"/>
      <c r="I304" s="31"/>
      <c r="J304" s="31"/>
      <c r="K304" s="34"/>
      <c r="L304" s="34"/>
      <c r="M304" s="34"/>
    </row>
    <row r="305" spans="1:13" ht="16.5" customHeight="1" x14ac:dyDescent="0.15">
      <c r="A305" s="72" t="s">
        <v>160</v>
      </c>
      <c r="B305" s="62" t="s">
        <v>177</v>
      </c>
      <c r="C305" s="62" t="s">
        <v>178</v>
      </c>
      <c r="D305" s="62" t="s">
        <v>177</v>
      </c>
      <c r="E305" s="62" t="s">
        <v>178</v>
      </c>
      <c r="F305" s="62" t="s">
        <v>177</v>
      </c>
      <c r="G305" s="34"/>
      <c r="H305" s="34"/>
      <c r="I305" s="31"/>
      <c r="J305" s="31"/>
      <c r="K305" s="34"/>
      <c r="L305" s="34"/>
      <c r="M305" s="34"/>
    </row>
    <row r="306" spans="1:13" ht="16.5" customHeight="1" x14ac:dyDescent="0.15">
      <c r="A306" s="75">
        <v>7</v>
      </c>
      <c r="B306" s="59" t="s">
        <v>176</v>
      </c>
      <c r="C306" s="59" t="s">
        <v>156</v>
      </c>
      <c r="D306" s="59" t="s">
        <v>176</v>
      </c>
      <c r="E306" s="59" t="s">
        <v>156</v>
      </c>
      <c r="F306" s="59" t="s">
        <v>176</v>
      </c>
      <c r="G306" s="34"/>
      <c r="H306" s="34"/>
      <c r="I306" s="31"/>
      <c r="J306" s="31"/>
      <c r="K306" s="34"/>
      <c r="L306" s="34"/>
      <c r="M306" s="34"/>
    </row>
    <row r="307" spans="1:13" ht="16.5" customHeight="1" x14ac:dyDescent="0.15">
      <c r="A307" s="72" t="s">
        <v>161</v>
      </c>
      <c r="B307" s="62" t="s">
        <v>177</v>
      </c>
      <c r="C307" s="62" t="s">
        <v>178</v>
      </c>
      <c r="D307" s="62" t="s">
        <v>177</v>
      </c>
      <c r="E307" s="62" t="s">
        <v>178</v>
      </c>
      <c r="F307" s="62" t="s">
        <v>177</v>
      </c>
      <c r="G307" s="34"/>
      <c r="H307" s="34"/>
      <c r="I307" s="31"/>
      <c r="J307" s="31"/>
      <c r="K307" s="34"/>
      <c r="L307" s="34"/>
      <c r="M307" s="34"/>
    </row>
    <row r="308" spans="1:13" ht="16.5" customHeight="1" x14ac:dyDescent="0.15">
      <c r="A308" s="75">
        <v>8</v>
      </c>
      <c r="B308" s="59" t="s">
        <v>176</v>
      </c>
      <c r="C308" s="59" t="s">
        <v>156</v>
      </c>
      <c r="D308" s="59" t="s">
        <v>176</v>
      </c>
      <c r="E308" s="59" t="s">
        <v>156</v>
      </c>
      <c r="F308" s="59" t="s">
        <v>176</v>
      </c>
      <c r="G308" s="34"/>
      <c r="H308" s="34"/>
      <c r="I308" s="31"/>
      <c r="J308" s="31"/>
      <c r="K308" s="34"/>
      <c r="L308" s="34"/>
      <c r="M308" s="34"/>
    </row>
    <row r="309" spans="1:13" ht="16.5" customHeight="1" x14ac:dyDescent="0.15">
      <c r="A309" s="72" t="s">
        <v>168</v>
      </c>
      <c r="B309" s="62" t="s">
        <v>177</v>
      </c>
      <c r="C309" s="62" t="s">
        <v>178</v>
      </c>
      <c r="D309" s="62" t="s">
        <v>177</v>
      </c>
      <c r="E309" s="62" t="s">
        <v>178</v>
      </c>
      <c r="F309" s="62" t="s">
        <v>177</v>
      </c>
      <c r="G309" s="34"/>
      <c r="H309" s="34"/>
      <c r="I309" s="31"/>
      <c r="J309" s="31"/>
      <c r="K309" s="34"/>
      <c r="L309" s="34"/>
      <c r="M309" s="34"/>
    </row>
    <row r="310" spans="1:13" ht="16.5" customHeight="1" x14ac:dyDescent="0.15">
      <c r="A310" s="54" t="s">
        <v>121</v>
      </c>
      <c r="B310" s="54" t="s">
        <v>189</v>
      </c>
      <c r="C310" s="54" t="s">
        <v>182</v>
      </c>
      <c r="D310" s="54" t="s">
        <v>192</v>
      </c>
      <c r="E310" s="54" t="s">
        <v>190</v>
      </c>
      <c r="F310" s="54" t="s">
        <v>180</v>
      </c>
      <c r="G310" s="34"/>
      <c r="H310" s="34"/>
      <c r="I310" s="31"/>
      <c r="J310" s="31"/>
      <c r="K310" s="34"/>
      <c r="L310" s="34"/>
      <c r="M310" s="34"/>
    </row>
    <row r="311" spans="1:13" ht="16.5" customHeight="1" x14ac:dyDescent="0.15">
      <c r="A311" s="55" t="s">
        <v>191</v>
      </c>
      <c r="B311" s="56" t="s">
        <v>30</v>
      </c>
      <c r="C311" s="56" t="s">
        <v>31</v>
      </c>
      <c r="D311" s="56" t="s">
        <v>33</v>
      </c>
      <c r="E311" s="56" t="s">
        <v>43</v>
      </c>
      <c r="F311" s="56" t="s">
        <v>44</v>
      </c>
      <c r="G311" s="34"/>
      <c r="H311" s="34"/>
      <c r="I311" s="31"/>
      <c r="J311" s="31"/>
      <c r="K311" s="34"/>
      <c r="L311" s="34"/>
      <c r="M311" s="34"/>
    </row>
    <row r="312" spans="1:13" ht="16.5" customHeight="1" x14ac:dyDescent="0.15">
      <c r="A312" s="75">
        <v>1</v>
      </c>
      <c r="B312" s="59" t="s">
        <v>176</v>
      </c>
      <c r="C312" s="59" t="s">
        <v>176</v>
      </c>
      <c r="D312" s="59" t="s">
        <v>158</v>
      </c>
      <c r="E312" s="59" t="s">
        <v>176</v>
      </c>
      <c r="F312" s="59" t="s">
        <v>176</v>
      </c>
      <c r="G312" s="34"/>
      <c r="H312" s="34"/>
      <c r="I312" s="31"/>
      <c r="J312" s="31"/>
      <c r="K312" s="34"/>
      <c r="L312" s="34"/>
      <c r="M312" s="34"/>
    </row>
    <row r="313" spans="1:13" ht="16.5" customHeight="1" x14ac:dyDescent="0.15">
      <c r="A313" s="72" t="s">
        <v>164</v>
      </c>
      <c r="B313" s="62" t="s">
        <v>178</v>
      </c>
      <c r="C313" s="62" t="s">
        <v>177</v>
      </c>
      <c r="D313" s="62" t="s">
        <v>205</v>
      </c>
      <c r="E313" s="62" t="s">
        <v>212</v>
      </c>
      <c r="F313" s="62" t="s">
        <v>178</v>
      </c>
      <c r="G313" s="34"/>
      <c r="H313" s="34"/>
      <c r="I313" s="31"/>
      <c r="J313" s="31"/>
      <c r="K313" s="34"/>
      <c r="L313" s="34"/>
      <c r="M313" s="34"/>
    </row>
    <row r="314" spans="1:13" ht="16.5" customHeight="1" x14ac:dyDescent="0.15">
      <c r="A314" s="75">
        <v>2</v>
      </c>
      <c r="B314" s="59" t="s">
        <v>176</v>
      </c>
      <c r="C314" s="59" t="s">
        <v>176</v>
      </c>
      <c r="D314" s="59" t="s">
        <v>158</v>
      </c>
      <c r="E314" s="59" t="s">
        <v>176</v>
      </c>
      <c r="F314" s="59" t="s">
        <v>176</v>
      </c>
      <c r="G314" s="34"/>
      <c r="H314" s="34"/>
      <c r="I314" s="31"/>
      <c r="J314" s="31"/>
      <c r="K314" s="34"/>
      <c r="L314" s="34"/>
      <c r="M314" s="34"/>
    </row>
    <row r="315" spans="1:13" ht="16.5" customHeight="1" x14ac:dyDescent="0.15">
      <c r="A315" s="72" t="s">
        <v>166</v>
      </c>
      <c r="B315" s="62" t="s">
        <v>178</v>
      </c>
      <c r="C315" s="62" t="s">
        <v>177</v>
      </c>
      <c r="D315" s="62" t="s">
        <v>205</v>
      </c>
      <c r="E315" s="62" t="s">
        <v>212</v>
      </c>
      <c r="F315" s="62" t="s">
        <v>178</v>
      </c>
      <c r="G315" s="34"/>
      <c r="H315" s="34"/>
      <c r="I315" s="31"/>
      <c r="J315" s="31"/>
      <c r="K315" s="34"/>
      <c r="L315" s="34"/>
      <c r="M315" s="34"/>
    </row>
    <row r="316" spans="1:13" ht="16.5" customHeight="1" x14ac:dyDescent="0.15">
      <c r="A316" s="75">
        <v>3</v>
      </c>
      <c r="B316" s="59" t="s">
        <v>176</v>
      </c>
      <c r="C316" s="59" t="s">
        <v>176</v>
      </c>
      <c r="D316" s="59" t="s">
        <v>158</v>
      </c>
      <c r="E316" s="59" t="s">
        <v>176</v>
      </c>
      <c r="F316" s="59" t="s">
        <v>176</v>
      </c>
      <c r="G316" s="34"/>
      <c r="H316" s="34"/>
      <c r="I316" s="31"/>
      <c r="J316" s="31"/>
      <c r="K316" s="34"/>
      <c r="L316" s="34"/>
      <c r="M316" s="34"/>
    </row>
    <row r="317" spans="1:13" ht="16.5" customHeight="1" x14ac:dyDescent="0.15">
      <c r="A317" s="72" t="s">
        <v>167</v>
      </c>
      <c r="B317" s="62" t="s">
        <v>178</v>
      </c>
      <c r="C317" s="62" t="s">
        <v>177</v>
      </c>
      <c r="D317" s="62" t="s">
        <v>205</v>
      </c>
      <c r="E317" s="62" t="s">
        <v>212</v>
      </c>
      <c r="F317" s="62" t="s">
        <v>178</v>
      </c>
      <c r="G317" s="34"/>
      <c r="H317" s="34"/>
      <c r="I317" s="31"/>
      <c r="J317" s="31"/>
      <c r="K317" s="34"/>
      <c r="L317" s="34"/>
      <c r="M317" s="34"/>
    </row>
    <row r="318" spans="1:13" ht="16.5" customHeight="1" x14ac:dyDescent="0.15">
      <c r="A318" s="75">
        <v>4</v>
      </c>
      <c r="B318" s="59" t="s">
        <v>176</v>
      </c>
      <c r="C318" s="59" t="s">
        <v>176</v>
      </c>
      <c r="D318" s="59" t="s">
        <v>158</v>
      </c>
      <c r="E318" s="59" t="s">
        <v>176</v>
      </c>
      <c r="F318" s="59" t="s">
        <v>176</v>
      </c>
      <c r="G318" s="34"/>
      <c r="H318" s="34"/>
      <c r="I318" s="31"/>
      <c r="J318" s="31"/>
      <c r="K318" s="34"/>
      <c r="L318" s="34"/>
      <c r="M318" s="34"/>
    </row>
    <row r="319" spans="1:13" ht="16.5" customHeight="1" x14ac:dyDescent="0.15">
      <c r="A319" s="72" t="s">
        <v>163</v>
      </c>
      <c r="B319" s="62" t="s">
        <v>178</v>
      </c>
      <c r="C319" s="62" t="s">
        <v>177</v>
      </c>
      <c r="D319" s="62" t="s">
        <v>205</v>
      </c>
      <c r="E319" s="62" t="s">
        <v>212</v>
      </c>
      <c r="F319" s="62" t="s">
        <v>178</v>
      </c>
      <c r="G319" s="34"/>
      <c r="H319" s="34"/>
      <c r="I319" s="31"/>
      <c r="J319" s="31"/>
      <c r="K319" s="34"/>
      <c r="L319" s="34"/>
      <c r="M319" s="34"/>
    </row>
    <row r="320" spans="1:13" ht="16.5" customHeight="1" x14ac:dyDescent="0.15">
      <c r="A320" s="75">
        <v>5</v>
      </c>
      <c r="B320" s="59" t="s">
        <v>158</v>
      </c>
      <c r="C320" s="59" t="s">
        <v>176</v>
      </c>
      <c r="D320" s="59" t="s">
        <v>176</v>
      </c>
      <c r="E320" s="59" t="s">
        <v>176</v>
      </c>
      <c r="F320" s="59" t="s">
        <v>176</v>
      </c>
      <c r="G320" s="34"/>
      <c r="H320" s="34"/>
      <c r="I320" s="31"/>
      <c r="J320" s="31"/>
      <c r="K320" s="34"/>
      <c r="L320" s="34"/>
      <c r="M320" s="34"/>
    </row>
    <row r="321" spans="1:13" ht="16.5" customHeight="1" x14ac:dyDescent="0.15">
      <c r="A321" s="72" t="s">
        <v>165</v>
      </c>
      <c r="B321" s="62" t="s">
        <v>205</v>
      </c>
      <c r="C321" s="62" t="s">
        <v>212</v>
      </c>
      <c r="D321" s="62" t="s">
        <v>178</v>
      </c>
      <c r="E321" s="62" t="s">
        <v>177</v>
      </c>
      <c r="F321" s="62" t="s">
        <v>212</v>
      </c>
      <c r="G321" s="34"/>
      <c r="H321" s="34"/>
      <c r="I321" s="31"/>
      <c r="J321" s="31"/>
      <c r="K321" s="34"/>
      <c r="L321" s="34"/>
      <c r="M321" s="34"/>
    </row>
    <row r="322" spans="1:13" ht="16.5" customHeight="1" x14ac:dyDescent="0.15">
      <c r="A322" s="75">
        <v>6</v>
      </c>
      <c r="B322" s="59" t="s">
        <v>158</v>
      </c>
      <c r="C322" s="59" t="s">
        <v>176</v>
      </c>
      <c r="D322" s="59" t="s">
        <v>176</v>
      </c>
      <c r="E322" s="59" t="s">
        <v>176</v>
      </c>
      <c r="F322" s="59" t="s">
        <v>176</v>
      </c>
      <c r="G322" s="34"/>
      <c r="H322" s="34"/>
      <c r="I322" s="34"/>
      <c r="J322" s="34"/>
      <c r="K322" s="34"/>
      <c r="L322" s="34"/>
      <c r="M322" s="34"/>
    </row>
    <row r="323" spans="1:13" ht="16.5" customHeight="1" x14ac:dyDescent="0.15">
      <c r="A323" s="72" t="s">
        <v>160</v>
      </c>
      <c r="B323" s="62" t="s">
        <v>205</v>
      </c>
      <c r="C323" s="62" t="s">
        <v>212</v>
      </c>
      <c r="D323" s="62" t="s">
        <v>178</v>
      </c>
      <c r="E323" s="62" t="s">
        <v>177</v>
      </c>
      <c r="F323" s="62" t="s">
        <v>212</v>
      </c>
      <c r="G323" s="34"/>
      <c r="H323" s="34"/>
      <c r="I323" s="34"/>
      <c r="J323" s="34"/>
      <c r="K323" s="34"/>
      <c r="L323" s="34"/>
      <c r="M323" s="34"/>
    </row>
    <row r="324" spans="1:13" ht="16.5" customHeight="1" x14ac:dyDescent="0.15">
      <c r="A324" s="75">
        <v>7</v>
      </c>
      <c r="B324" s="59" t="s">
        <v>158</v>
      </c>
      <c r="C324" s="59" t="s">
        <v>176</v>
      </c>
      <c r="D324" s="59" t="s">
        <v>176</v>
      </c>
      <c r="E324" s="59" t="s">
        <v>176</v>
      </c>
      <c r="F324" s="59" t="s">
        <v>176</v>
      </c>
      <c r="G324" s="34"/>
      <c r="H324" s="34"/>
      <c r="I324" s="34"/>
      <c r="J324" s="34"/>
      <c r="K324" s="34"/>
      <c r="L324" s="34"/>
      <c r="M324" s="34"/>
    </row>
    <row r="325" spans="1:13" ht="16.5" customHeight="1" x14ac:dyDescent="0.15">
      <c r="A325" s="72" t="s">
        <v>161</v>
      </c>
      <c r="B325" s="62" t="s">
        <v>205</v>
      </c>
      <c r="C325" s="62" t="s">
        <v>212</v>
      </c>
      <c r="D325" s="62" t="s">
        <v>178</v>
      </c>
      <c r="E325" s="62" t="s">
        <v>177</v>
      </c>
      <c r="F325" s="62" t="s">
        <v>212</v>
      </c>
      <c r="G325" s="34"/>
      <c r="H325" s="34"/>
      <c r="I325" s="34"/>
      <c r="J325" s="34"/>
      <c r="K325" s="34"/>
      <c r="L325" s="34"/>
      <c r="M325" s="34"/>
    </row>
    <row r="326" spans="1:13" ht="16.5" customHeight="1" x14ac:dyDescent="0.15">
      <c r="A326" s="75">
        <v>8</v>
      </c>
      <c r="B326" s="59" t="s">
        <v>158</v>
      </c>
      <c r="C326" s="59" t="s">
        <v>176</v>
      </c>
      <c r="D326" s="59" t="s">
        <v>176</v>
      </c>
      <c r="E326" s="59" t="s">
        <v>176</v>
      </c>
      <c r="F326" s="59" t="s">
        <v>176</v>
      </c>
      <c r="G326" s="34"/>
      <c r="H326" s="34"/>
      <c r="I326" s="34"/>
      <c r="J326" s="34"/>
      <c r="K326" s="34"/>
      <c r="L326" s="34"/>
      <c r="M326" s="34"/>
    </row>
    <row r="327" spans="1:13" ht="16.5" customHeight="1" x14ac:dyDescent="0.15">
      <c r="A327" s="72" t="s">
        <v>168</v>
      </c>
      <c r="B327" s="62" t="s">
        <v>205</v>
      </c>
      <c r="C327" s="62" t="s">
        <v>212</v>
      </c>
      <c r="D327" s="62" t="s">
        <v>178</v>
      </c>
      <c r="E327" s="62" t="s">
        <v>177</v>
      </c>
      <c r="F327" s="62" t="s">
        <v>212</v>
      </c>
      <c r="G327" s="34"/>
      <c r="H327" s="34"/>
      <c r="I327" s="34"/>
      <c r="J327" s="34"/>
      <c r="K327" s="34"/>
      <c r="L327" s="34"/>
      <c r="M327" s="34"/>
    </row>
    <row r="328" spans="1:13" ht="16.5" customHeight="1" x14ac:dyDescent="0.15">
      <c r="A328" s="54" t="s">
        <v>120</v>
      </c>
      <c r="B328" s="54" t="s">
        <v>189</v>
      </c>
      <c r="C328" s="54" t="s">
        <v>182</v>
      </c>
      <c r="D328" s="54" t="s">
        <v>192</v>
      </c>
      <c r="E328" s="54" t="s">
        <v>190</v>
      </c>
      <c r="F328" s="54" t="s">
        <v>180</v>
      </c>
      <c r="G328" s="34"/>
      <c r="H328" s="34"/>
      <c r="I328" s="34"/>
      <c r="J328" s="34"/>
      <c r="K328" s="34"/>
      <c r="L328" s="34"/>
      <c r="M328" s="34"/>
    </row>
    <row r="329" spans="1:13" ht="16.5" customHeight="1" x14ac:dyDescent="0.15">
      <c r="A329" s="55" t="s">
        <v>191</v>
      </c>
      <c r="B329" s="56" t="s">
        <v>45</v>
      </c>
      <c r="C329" s="56" t="s">
        <v>51</v>
      </c>
      <c r="D329" s="56" t="s">
        <v>50</v>
      </c>
      <c r="E329" s="56" t="s">
        <v>48</v>
      </c>
      <c r="F329" s="56" t="s">
        <v>49</v>
      </c>
      <c r="G329" s="34"/>
      <c r="H329" s="34"/>
      <c r="I329" s="34"/>
      <c r="J329" s="34"/>
      <c r="K329" s="34"/>
      <c r="L329" s="34"/>
      <c r="M329" s="34"/>
    </row>
    <row r="330" spans="1:13" ht="16.5" customHeight="1" x14ac:dyDescent="0.15">
      <c r="A330" s="75">
        <v>1</v>
      </c>
      <c r="B330" s="59" t="s">
        <v>176</v>
      </c>
      <c r="C330" s="59" t="s">
        <v>176</v>
      </c>
      <c r="D330" s="59" t="s">
        <v>158</v>
      </c>
      <c r="E330" s="59" t="s">
        <v>176</v>
      </c>
      <c r="F330" s="59" t="s">
        <v>176</v>
      </c>
      <c r="G330" s="34"/>
      <c r="H330" s="34"/>
      <c r="I330" s="34"/>
      <c r="J330" s="34"/>
      <c r="K330" s="34"/>
      <c r="L330" s="34"/>
      <c r="M330" s="34"/>
    </row>
    <row r="331" spans="1:13" ht="16.5" customHeight="1" x14ac:dyDescent="0.15">
      <c r="A331" s="72" t="s">
        <v>164</v>
      </c>
      <c r="B331" s="62" t="s">
        <v>178</v>
      </c>
      <c r="C331" s="62" t="s">
        <v>177</v>
      </c>
      <c r="D331" s="62" t="s">
        <v>205</v>
      </c>
      <c r="E331" s="62" t="s">
        <v>188</v>
      </c>
      <c r="F331" s="62" t="s">
        <v>178</v>
      </c>
      <c r="G331" s="34"/>
      <c r="H331" s="34"/>
      <c r="I331" s="34"/>
      <c r="J331" s="34"/>
      <c r="K331" s="34"/>
      <c r="L331" s="34"/>
      <c r="M331" s="34"/>
    </row>
    <row r="332" spans="1:13" ht="16.5" customHeight="1" x14ac:dyDescent="0.15">
      <c r="A332" s="75">
        <v>2</v>
      </c>
      <c r="B332" s="59" t="s">
        <v>176</v>
      </c>
      <c r="C332" s="59" t="s">
        <v>176</v>
      </c>
      <c r="D332" s="59" t="s">
        <v>158</v>
      </c>
      <c r="E332" s="59" t="s">
        <v>176</v>
      </c>
      <c r="F332" s="59" t="s">
        <v>176</v>
      </c>
      <c r="G332" s="34"/>
      <c r="H332" s="34"/>
      <c r="I332" s="34"/>
      <c r="J332" s="34"/>
      <c r="K332" s="34"/>
      <c r="L332" s="34"/>
      <c r="M332" s="34"/>
    </row>
    <row r="333" spans="1:13" ht="16.5" customHeight="1" x14ac:dyDescent="0.15">
      <c r="A333" s="72" t="s">
        <v>166</v>
      </c>
      <c r="B333" s="62" t="s">
        <v>178</v>
      </c>
      <c r="C333" s="62" t="s">
        <v>177</v>
      </c>
      <c r="D333" s="62" t="s">
        <v>205</v>
      </c>
      <c r="E333" s="62" t="s">
        <v>188</v>
      </c>
      <c r="F333" s="62" t="s">
        <v>178</v>
      </c>
      <c r="G333" s="34"/>
      <c r="H333" s="34"/>
      <c r="I333" s="34"/>
      <c r="J333" s="34"/>
      <c r="K333" s="34"/>
      <c r="L333" s="34"/>
      <c r="M333" s="34"/>
    </row>
    <row r="334" spans="1:13" ht="16.5" customHeight="1" x14ac:dyDescent="0.15">
      <c r="A334" s="75">
        <v>3</v>
      </c>
      <c r="B334" s="59" t="s">
        <v>176</v>
      </c>
      <c r="C334" s="59" t="s">
        <v>176</v>
      </c>
      <c r="D334" s="59" t="s">
        <v>158</v>
      </c>
      <c r="E334" s="59" t="s">
        <v>176</v>
      </c>
      <c r="F334" s="59" t="s">
        <v>176</v>
      </c>
      <c r="G334" s="34"/>
      <c r="H334" s="34"/>
      <c r="I334" s="34"/>
      <c r="J334" s="34"/>
      <c r="K334" s="34"/>
      <c r="L334" s="34"/>
      <c r="M334" s="34"/>
    </row>
    <row r="335" spans="1:13" ht="16.5" customHeight="1" x14ac:dyDescent="0.15">
      <c r="A335" s="72" t="s">
        <v>167</v>
      </c>
      <c r="B335" s="62" t="s">
        <v>178</v>
      </c>
      <c r="C335" s="62" t="s">
        <v>177</v>
      </c>
      <c r="D335" s="62" t="s">
        <v>205</v>
      </c>
      <c r="E335" s="62" t="s">
        <v>188</v>
      </c>
      <c r="F335" s="62" t="s">
        <v>178</v>
      </c>
      <c r="G335" s="34"/>
      <c r="H335" s="34"/>
      <c r="I335" s="34"/>
      <c r="J335" s="34"/>
      <c r="K335" s="34"/>
      <c r="L335" s="34"/>
      <c r="M335" s="34"/>
    </row>
    <row r="336" spans="1:13" ht="16.5" customHeight="1" x14ac:dyDescent="0.15">
      <c r="A336" s="75">
        <v>4</v>
      </c>
      <c r="B336" s="59" t="s">
        <v>176</v>
      </c>
      <c r="C336" s="59" t="s">
        <v>176</v>
      </c>
      <c r="D336" s="59" t="s">
        <v>158</v>
      </c>
      <c r="E336" s="59" t="s">
        <v>176</v>
      </c>
      <c r="F336" s="59" t="s">
        <v>176</v>
      </c>
      <c r="G336" s="34"/>
      <c r="H336" s="34"/>
      <c r="I336" s="34"/>
      <c r="J336" s="34"/>
      <c r="K336" s="34"/>
      <c r="L336" s="34"/>
      <c r="M336" s="34"/>
    </row>
    <row r="337" spans="1:13" ht="16.5" customHeight="1" x14ac:dyDescent="0.15">
      <c r="A337" s="72" t="s">
        <v>163</v>
      </c>
      <c r="B337" s="62" t="s">
        <v>178</v>
      </c>
      <c r="C337" s="62" t="s">
        <v>177</v>
      </c>
      <c r="D337" s="62" t="s">
        <v>205</v>
      </c>
      <c r="E337" s="62" t="s">
        <v>188</v>
      </c>
      <c r="F337" s="62" t="s">
        <v>178</v>
      </c>
      <c r="G337" s="34"/>
      <c r="H337" s="34"/>
      <c r="I337" s="34"/>
      <c r="J337" s="34"/>
      <c r="K337" s="34"/>
      <c r="L337" s="34"/>
      <c r="M337" s="34"/>
    </row>
    <row r="338" spans="1:13" ht="16.5" customHeight="1" x14ac:dyDescent="0.15">
      <c r="A338" s="75">
        <v>5</v>
      </c>
      <c r="B338" s="59" t="s">
        <v>158</v>
      </c>
      <c r="C338" s="59" t="s">
        <v>176</v>
      </c>
      <c r="D338" s="59" t="s">
        <v>176</v>
      </c>
      <c r="E338" s="59" t="s">
        <v>176</v>
      </c>
      <c r="F338" s="59" t="s">
        <v>176</v>
      </c>
      <c r="G338" s="34"/>
      <c r="H338" s="34"/>
      <c r="I338" s="34"/>
      <c r="J338" s="34"/>
      <c r="K338" s="34"/>
      <c r="L338" s="34"/>
      <c r="M338" s="34"/>
    </row>
    <row r="339" spans="1:13" ht="16.5" customHeight="1" x14ac:dyDescent="0.15">
      <c r="A339" s="72" t="s">
        <v>165</v>
      </c>
      <c r="B339" s="62" t="s">
        <v>205</v>
      </c>
      <c r="C339" s="62" t="s">
        <v>212</v>
      </c>
      <c r="D339" s="62" t="s">
        <v>178</v>
      </c>
      <c r="E339" s="62" t="s">
        <v>212</v>
      </c>
      <c r="F339" s="62" t="s">
        <v>188</v>
      </c>
      <c r="G339" s="34"/>
      <c r="H339" s="34"/>
      <c r="I339" s="34"/>
      <c r="J339" s="34"/>
      <c r="K339" s="34"/>
      <c r="L339" s="34"/>
      <c r="M339" s="34"/>
    </row>
    <row r="340" spans="1:13" ht="16.5" customHeight="1" x14ac:dyDescent="0.15">
      <c r="A340" s="75">
        <v>6</v>
      </c>
      <c r="B340" s="59" t="s">
        <v>158</v>
      </c>
      <c r="C340" s="59" t="s">
        <v>176</v>
      </c>
      <c r="D340" s="59" t="s">
        <v>176</v>
      </c>
      <c r="E340" s="59" t="s">
        <v>176</v>
      </c>
      <c r="F340" s="59" t="s">
        <v>176</v>
      </c>
      <c r="G340" s="34"/>
      <c r="H340" s="34"/>
      <c r="I340" s="34"/>
      <c r="J340" s="34"/>
      <c r="K340" s="34"/>
      <c r="L340" s="34"/>
      <c r="M340" s="34"/>
    </row>
    <row r="341" spans="1:13" ht="16.5" customHeight="1" x14ac:dyDescent="0.15">
      <c r="A341" s="72" t="s">
        <v>160</v>
      </c>
      <c r="B341" s="62" t="s">
        <v>205</v>
      </c>
      <c r="C341" s="62" t="s">
        <v>212</v>
      </c>
      <c r="D341" s="62" t="s">
        <v>178</v>
      </c>
      <c r="E341" s="62" t="s">
        <v>212</v>
      </c>
      <c r="F341" s="62" t="s">
        <v>188</v>
      </c>
      <c r="G341" s="34"/>
      <c r="H341" s="34"/>
      <c r="I341" s="34"/>
      <c r="J341" s="34"/>
      <c r="K341" s="34"/>
      <c r="L341" s="34"/>
      <c r="M341" s="34"/>
    </row>
    <row r="342" spans="1:13" ht="16.5" customHeight="1" x14ac:dyDescent="0.15">
      <c r="A342" s="75">
        <v>7</v>
      </c>
      <c r="B342" s="59" t="s">
        <v>158</v>
      </c>
      <c r="C342" s="59" t="s">
        <v>176</v>
      </c>
      <c r="D342" s="59" t="s">
        <v>176</v>
      </c>
      <c r="E342" s="59" t="s">
        <v>176</v>
      </c>
      <c r="F342" s="59" t="s">
        <v>176</v>
      </c>
      <c r="G342" s="34"/>
      <c r="H342" s="34"/>
      <c r="I342" s="34"/>
      <c r="J342" s="34"/>
      <c r="K342" s="34"/>
      <c r="L342" s="34"/>
      <c r="M342" s="34"/>
    </row>
    <row r="343" spans="1:13" ht="16.5" customHeight="1" x14ac:dyDescent="0.15">
      <c r="A343" s="72" t="s">
        <v>161</v>
      </c>
      <c r="B343" s="62" t="s">
        <v>205</v>
      </c>
      <c r="C343" s="62" t="s">
        <v>212</v>
      </c>
      <c r="D343" s="62" t="s">
        <v>178</v>
      </c>
      <c r="E343" s="62" t="s">
        <v>212</v>
      </c>
      <c r="F343" s="62" t="s">
        <v>188</v>
      </c>
      <c r="G343" s="34"/>
      <c r="H343" s="34"/>
      <c r="I343" s="34"/>
      <c r="J343" s="34"/>
      <c r="K343" s="34"/>
      <c r="L343" s="34"/>
      <c r="M343" s="34"/>
    </row>
    <row r="344" spans="1:13" ht="16.5" customHeight="1" x14ac:dyDescent="0.15">
      <c r="A344" s="75">
        <v>8</v>
      </c>
      <c r="B344" s="59" t="s">
        <v>158</v>
      </c>
      <c r="C344" s="59" t="s">
        <v>176</v>
      </c>
      <c r="D344" s="59" t="s">
        <v>176</v>
      </c>
      <c r="E344" s="59" t="s">
        <v>176</v>
      </c>
      <c r="F344" s="59" t="s">
        <v>176</v>
      </c>
      <c r="G344" s="34"/>
      <c r="H344" s="34"/>
      <c r="I344" s="34"/>
      <c r="J344" s="34"/>
      <c r="K344" s="34"/>
      <c r="L344" s="34"/>
      <c r="M344" s="34"/>
    </row>
    <row r="345" spans="1:13" ht="16.5" customHeight="1" x14ac:dyDescent="0.15">
      <c r="A345" s="72" t="s">
        <v>168</v>
      </c>
      <c r="B345" s="62" t="s">
        <v>205</v>
      </c>
      <c r="C345" s="62" t="s">
        <v>212</v>
      </c>
      <c r="D345" s="62" t="s">
        <v>178</v>
      </c>
      <c r="E345" s="62" t="s">
        <v>212</v>
      </c>
      <c r="F345" s="62" t="s">
        <v>188</v>
      </c>
      <c r="G345" s="34"/>
      <c r="H345" s="34"/>
      <c r="I345" s="34"/>
      <c r="J345" s="34"/>
      <c r="K345" s="34"/>
      <c r="L345" s="34"/>
      <c r="M345" s="34"/>
    </row>
    <row r="346" spans="1:13" ht="16.5" customHeight="1" x14ac:dyDescent="0.15">
      <c r="A346" s="54" t="s">
        <v>133</v>
      </c>
      <c r="B346" s="54" t="s">
        <v>189</v>
      </c>
      <c r="C346" s="54" t="s">
        <v>182</v>
      </c>
      <c r="D346" s="54" t="s">
        <v>192</v>
      </c>
      <c r="E346" s="54" t="s">
        <v>190</v>
      </c>
      <c r="F346" s="54" t="s">
        <v>180</v>
      </c>
      <c r="G346" s="34"/>
      <c r="H346" s="34"/>
      <c r="I346" s="34"/>
      <c r="J346" s="34"/>
      <c r="K346" s="34"/>
      <c r="L346" s="34"/>
      <c r="M346" s="34"/>
    </row>
    <row r="347" spans="1:13" ht="16.5" customHeight="1" x14ac:dyDescent="0.15">
      <c r="A347" s="55" t="s">
        <v>191</v>
      </c>
      <c r="B347" s="56" t="s">
        <v>54</v>
      </c>
      <c r="C347" s="56" t="s">
        <v>47</v>
      </c>
      <c r="D347" s="56" t="s">
        <v>55</v>
      </c>
      <c r="E347" s="56" t="s">
        <v>52</v>
      </c>
      <c r="F347" s="56" t="s">
        <v>53</v>
      </c>
      <c r="G347" s="34"/>
      <c r="H347" s="34"/>
      <c r="I347" s="34"/>
      <c r="J347" s="34"/>
      <c r="K347" s="34"/>
      <c r="L347" s="34"/>
      <c r="M347" s="34"/>
    </row>
    <row r="348" spans="1:13" ht="16.5" customHeight="1" x14ac:dyDescent="0.15">
      <c r="A348" s="75">
        <v>1</v>
      </c>
      <c r="B348" s="59" t="s">
        <v>158</v>
      </c>
      <c r="C348" s="100" t="s">
        <v>206</v>
      </c>
      <c r="D348" s="59" t="s">
        <v>176</v>
      </c>
      <c r="E348" s="59" t="s">
        <v>176</v>
      </c>
      <c r="F348" s="59" t="s">
        <v>176</v>
      </c>
      <c r="G348" s="34"/>
      <c r="H348" s="34"/>
      <c r="I348" s="34"/>
      <c r="J348" s="34"/>
      <c r="K348" s="34"/>
      <c r="L348" s="34"/>
      <c r="M348" s="34"/>
    </row>
    <row r="349" spans="1:13" ht="16.5" customHeight="1" x14ac:dyDescent="0.15">
      <c r="A349" s="72" t="s">
        <v>164</v>
      </c>
      <c r="B349" s="62" t="s">
        <v>205</v>
      </c>
      <c r="C349" s="100"/>
      <c r="D349" s="62" t="s">
        <v>178</v>
      </c>
      <c r="E349" s="62" t="s">
        <v>188</v>
      </c>
      <c r="F349" s="62" t="s">
        <v>188</v>
      </c>
      <c r="G349" s="34"/>
      <c r="H349" s="34"/>
      <c r="I349" s="34"/>
      <c r="J349" s="34"/>
      <c r="K349" s="34"/>
      <c r="L349" s="34"/>
      <c r="M349" s="34"/>
    </row>
    <row r="350" spans="1:13" ht="16.5" customHeight="1" x14ac:dyDescent="0.15">
      <c r="A350" s="75">
        <v>2</v>
      </c>
      <c r="B350" s="59" t="s">
        <v>158</v>
      </c>
      <c r="C350" s="100"/>
      <c r="D350" s="59" t="s">
        <v>176</v>
      </c>
      <c r="E350" s="59" t="s">
        <v>176</v>
      </c>
      <c r="F350" s="59" t="s">
        <v>176</v>
      </c>
      <c r="G350" s="34"/>
      <c r="H350" s="34"/>
      <c r="I350" s="34"/>
      <c r="J350" s="34"/>
      <c r="K350" s="34"/>
      <c r="L350" s="34"/>
      <c r="M350" s="34"/>
    </row>
    <row r="351" spans="1:13" ht="16.5" customHeight="1" x14ac:dyDescent="0.15">
      <c r="A351" s="72" t="s">
        <v>166</v>
      </c>
      <c r="B351" s="62" t="s">
        <v>205</v>
      </c>
      <c r="C351" s="100"/>
      <c r="D351" s="62" t="s">
        <v>178</v>
      </c>
      <c r="E351" s="62" t="s">
        <v>188</v>
      </c>
      <c r="F351" s="62" t="s">
        <v>188</v>
      </c>
      <c r="G351" s="34"/>
      <c r="H351" s="34"/>
      <c r="I351" s="34"/>
      <c r="J351" s="34"/>
      <c r="K351" s="34"/>
      <c r="L351" s="34"/>
      <c r="M351" s="34"/>
    </row>
    <row r="352" spans="1:13" ht="16.5" customHeight="1" x14ac:dyDescent="0.15">
      <c r="A352" s="75">
        <v>3</v>
      </c>
      <c r="B352" s="59" t="s">
        <v>158</v>
      </c>
      <c r="C352" s="100"/>
      <c r="D352" s="59" t="s">
        <v>176</v>
      </c>
      <c r="E352" s="59" t="s">
        <v>176</v>
      </c>
      <c r="F352" s="59" t="s">
        <v>176</v>
      </c>
      <c r="G352" s="34"/>
      <c r="H352" s="34"/>
      <c r="I352" s="34"/>
      <c r="J352" s="34"/>
      <c r="K352" s="34"/>
      <c r="L352" s="34"/>
      <c r="M352" s="34"/>
    </row>
    <row r="353" spans="1:13" ht="16.5" customHeight="1" x14ac:dyDescent="0.15">
      <c r="A353" s="72" t="s">
        <v>167</v>
      </c>
      <c r="B353" s="62" t="s">
        <v>205</v>
      </c>
      <c r="C353" s="100"/>
      <c r="D353" s="62" t="s">
        <v>178</v>
      </c>
      <c r="E353" s="62" t="s">
        <v>188</v>
      </c>
      <c r="F353" s="62" t="s">
        <v>188</v>
      </c>
      <c r="G353" s="34"/>
      <c r="H353" s="34"/>
      <c r="I353" s="34"/>
      <c r="J353" s="34"/>
      <c r="K353" s="34"/>
      <c r="L353" s="34"/>
      <c r="M353" s="34"/>
    </row>
    <row r="354" spans="1:13" ht="16.5" customHeight="1" x14ac:dyDescent="0.15">
      <c r="A354" s="75">
        <v>4</v>
      </c>
      <c r="B354" s="59" t="s">
        <v>158</v>
      </c>
      <c r="C354" s="100"/>
      <c r="D354" s="59" t="s">
        <v>176</v>
      </c>
      <c r="E354" s="59" t="s">
        <v>176</v>
      </c>
      <c r="F354" s="59" t="s">
        <v>176</v>
      </c>
      <c r="G354" s="34"/>
      <c r="H354" s="34"/>
      <c r="I354" s="34"/>
      <c r="J354" s="34"/>
      <c r="K354" s="34"/>
      <c r="L354" s="34"/>
      <c r="M354" s="34"/>
    </row>
    <row r="355" spans="1:13" ht="16.5" customHeight="1" x14ac:dyDescent="0.15">
      <c r="A355" s="72" t="s">
        <v>163</v>
      </c>
      <c r="B355" s="62" t="s">
        <v>205</v>
      </c>
      <c r="C355" s="100"/>
      <c r="D355" s="62" t="s">
        <v>178</v>
      </c>
      <c r="E355" s="62" t="s">
        <v>188</v>
      </c>
      <c r="F355" s="62" t="s">
        <v>188</v>
      </c>
      <c r="G355" s="34"/>
      <c r="H355" s="34"/>
      <c r="I355" s="34"/>
      <c r="J355" s="34"/>
      <c r="K355" s="34"/>
      <c r="L355" s="34"/>
      <c r="M355" s="34"/>
    </row>
    <row r="356" spans="1:13" ht="16.5" customHeight="1" x14ac:dyDescent="0.15">
      <c r="A356" s="75">
        <v>5</v>
      </c>
      <c r="B356" s="59" t="s">
        <v>176</v>
      </c>
      <c r="C356" s="100"/>
      <c r="D356" s="59" t="s">
        <v>158</v>
      </c>
      <c r="E356" s="59" t="s">
        <v>176</v>
      </c>
      <c r="F356" s="59" t="s">
        <v>176</v>
      </c>
      <c r="G356" s="34"/>
      <c r="H356" s="34"/>
      <c r="I356" s="34"/>
      <c r="J356" s="34"/>
      <c r="K356" s="34"/>
      <c r="L356" s="34"/>
      <c r="M356" s="34"/>
    </row>
    <row r="357" spans="1:13" ht="16.5" customHeight="1" x14ac:dyDescent="0.15">
      <c r="A357" s="72" t="s">
        <v>165</v>
      </c>
      <c r="B357" s="62" t="s">
        <v>178</v>
      </c>
      <c r="C357" s="100"/>
      <c r="D357" s="62" t="s">
        <v>205</v>
      </c>
      <c r="E357" s="62" t="s">
        <v>177</v>
      </c>
      <c r="F357" s="62" t="s">
        <v>178</v>
      </c>
      <c r="G357" s="34"/>
      <c r="H357" s="34"/>
      <c r="I357" s="34"/>
      <c r="J357" s="34"/>
      <c r="K357" s="34"/>
      <c r="L357" s="34"/>
      <c r="M357" s="34"/>
    </row>
    <row r="358" spans="1:13" ht="16.5" customHeight="1" x14ac:dyDescent="0.15">
      <c r="A358" s="75">
        <v>6</v>
      </c>
      <c r="B358" s="59" t="s">
        <v>176</v>
      </c>
      <c r="C358" s="100"/>
      <c r="D358" s="59" t="s">
        <v>158</v>
      </c>
      <c r="E358" s="59" t="s">
        <v>176</v>
      </c>
      <c r="F358" s="59" t="s">
        <v>176</v>
      </c>
      <c r="G358" s="34"/>
      <c r="H358" s="34"/>
      <c r="I358" s="34"/>
      <c r="J358" s="34"/>
      <c r="K358" s="34"/>
      <c r="L358" s="34"/>
      <c r="M358" s="34"/>
    </row>
    <row r="359" spans="1:13" ht="16.5" customHeight="1" x14ac:dyDescent="0.15">
      <c r="A359" s="72" t="s">
        <v>160</v>
      </c>
      <c r="B359" s="62" t="s">
        <v>178</v>
      </c>
      <c r="C359" s="100"/>
      <c r="D359" s="62" t="s">
        <v>205</v>
      </c>
      <c r="E359" s="62" t="s">
        <v>177</v>
      </c>
      <c r="F359" s="62" t="s">
        <v>178</v>
      </c>
      <c r="G359" s="34"/>
      <c r="H359" s="34"/>
      <c r="I359" s="34"/>
      <c r="J359" s="34"/>
      <c r="K359" s="34"/>
      <c r="L359" s="34"/>
      <c r="M359" s="34"/>
    </row>
    <row r="360" spans="1:13" ht="16.5" customHeight="1" x14ac:dyDescent="0.15">
      <c r="A360" s="75">
        <v>7</v>
      </c>
      <c r="B360" s="59" t="s">
        <v>176</v>
      </c>
      <c r="C360" s="100"/>
      <c r="D360" s="59" t="s">
        <v>158</v>
      </c>
      <c r="E360" s="59" t="s">
        <v>176</v>
      </c>
      <c r="F360" s="59" t="s">
        <v>176</v>
      </c>
      <c r="G360" s="34"/>
      <c r="H360" s="34"/>
      <c r="I360" s="34"/>
      <c r="J360" s="34"/>
      <c r="K360" s="34"/>
      <c r="L360" s="34"/>
      <c r="M360" s="34"/>
    </row>
    <row r="361" spans="1:13" ht="16.5" customHeight="1" x14ac:dyDescent="0.15">
      <c r="A361" s="72" t="s">
        <v>161</v>
      </c>
      <c r="B361" s="62" t="s">
        <v>178</v>
      </c>
      <c r="C361" s="100"/>
      <c r="D361" s="62" t="s">
        <v>205</v>
      </c>
      <c r="E361" s="62" t="s">
        <v>177</v>
      </c>
      <c r="F361" s="62" t="s">
        <v>178</v>
      </c>
      <c r="G361" s="34"/>
      <c r="H361" s="34"/>
      <c r="I361" s="34"/>
      <c r="J361" s="34"/>
      <c r="K361" s="34"/>
      <c r="L361" s="34"/>
      <c r="M361" s="34"/>
    </row>
    <row r="362" spans="1:13" ht="16.5" customHeight="1" x14ac:dyDescent="0.15">
      <c r="A362" s="75">
        <v>8</v>
      </c>
      <c r="B362" s="59" t="s">
        <v>176</v>
      </c>
      <c r="C362" s="100"/>
      <c r="D362" s="59" t="s">
        <v>158</v>
      </c>
      <c r="E362" s="59" t="s">
        <v>176</v>
      </c>
      <c r="F362" s="59" t="s">
        <v>176</v>
      </c>
      <c r="G362" s="34"/>
      <c r="H362" s="34"/>
      <c r="I362" s="34"/>
      <c r="J362" s="34"/>
      <c r="K362" s="34"/>
      <c r="L362" s="34"/>
      <c r="M362" s="34"/>
    </row>
    <row r="363" spans="1:13" ht="16.5" customHeight="1" x14ac:dyDescent="0.15">
      <c r="A363" s="72" t="s">
        <v>168</v>
      </c>
      <c r="B363" s="62" t="s">
        <v>178</v>
      </c>
      <c r="C363" s="100"/>
      <c r="D363" s="62" t="s">
        <v>205</v>
      </c>
      <c r="E363" s="62" t="s">
        <v>177</v>
      </c>
      <c r="F363" s="62" t="s">
        <v>178</v>
      </c>
      <c r="G363" s="34"/>
      <c r="H363" s="34"/>
      <c r="I363" s="34"/>
      <c r="J363" s="34"/>
      <c r="K363" s="34"/>
      <c r="L363" s="34"/>
      <c r="M363" s="34"/>
    </row>
    <row r="364" spans="1:13" ht="16.5" customHeight="1" x14ac:dyDescent="0.15">
      <c r="A364" s="54" t="s">
        <v>139</v>
      </c>
      <c r="B364" s="54" t="s">
        <v>189</v>
      </c>
      <c r="C364" s="54" t="s">
        <v>182</v>
      </c>
      <c r="D364" s="54" t="s">
        <v>192</v>
      </c>
      <c r="E364" s="54" t="s">
        <v>190</v>
      </c>
      <c r="F364" s="54" t="s">
        <v>180</v>
      </c>
      <c r="G364" s="34"/>
      <c r="H364" s="34"/>
      <c r="I364" s="34"/>
      <c r="J364" s="34"/>
      <c r="K364" s="34"/>
      <c r="L364" s="34"/>
      <c r="M364" s="34"/>
    </row>
    <row r="365" spans="1:13" ht="16.5" customHeight="1" x14ac:dyDescent="0.15">
      <c r="A365" s="55" t="s">
        <v>191</v>
      </c>
      <c r="B365" s="56" t="s">
        <v>46</v>
      </c>
      <c r="C365" s="56" t="s">
        <v>60</v>
      </c>
      <c r="D365" s="56" t="s">
        <v>99</v>
      </c>
      <c r="E365" s="56" t="s">
        <v>77</v>
      </c>
      <c r="F365" s="56" t="s">
        <v>93</v>
      </c>
      <c r="G365" s="34"/>
      <c r="H365" s="34"/>
      <c r="I365" s="34"/>
      <c r="J365" s="34"/>
      <c r="K365" s="34"/>
      <c r="L365" s="34"/>
      <c r="M365" s="34"/>
    </row>
    <row r="366" spans="1:13" ht="16.5" customHeight="1" x14ac:dyDescent="0.15">
      <c r="A366" s="75">
        <v>1</v>
      </c>
      <c r="B366" s="59" t="s">
        <v>176</v>
      </c>
      <c r="C366" s="59" t="s">
        <v>176</v>
      </c>
      <c r="D366" s="59" t="s">
        <v>176</v>
      </c>
      <c r="E366" s="59" t="s">
        <v>176</v>
      </c>
      <c r="F366" s="59" t="s">
        <v>176</v>
      </c>
      <c r="G366" s="34"/>
      <c r="H366" s="34"/>
      <c r="I366" s="34"/>
      <c r="J366" s="34"/>
      <c r="K366" s="34"/>
      <c r="L366" s="34"/>
      <c r="M366" s="34"/>
    </row>
    <row r="367" spans="1:13" ht="16.5" customHeight="1" x14ac:dyDescent="0.15">
      <c r="A367" s="72" t="s">
        <v>164</v>
      </c>
      <c r="B367" s="62" t="s">
        <v>178</v>
      </c>
      <c r="C367" s="62" t="s">
        <v>188</v>
      </c>
      <c r="D367" s="62" t="s">
        <v>188</v>
      </c>
      <c r="E367" s="62" t="s">
        <v>188</v>
      </c>
      <c r="F367" s="62" t="s">
        <v>219</v>
      </c>
      <c r="G367" s="34"/>
      <c r="H367" s="34"/>
      <c r="I367" s="34"/>
      <c r="J367" s="34"/>
      <c r="K367" s="34"/>
      <c r="L367" s="34"/>
      <c r="M367" s="34"/>
    </row>
    <row r="368" spans="1:13" ht="16.5" customHeight="1" x14ac:dyDescent="0.15">
      <c r="A368" s="75">
        <v>2</v>
      </c>
      <c r="B368" s="59" t="s">
        <v>176</v>
      </c>
      <c r="C368" s="59" t="s">
        <v>176</v>
      </c>
      <c r="D368" s="59" t="s">
        <v>176</v>
      </c>
      <c r="E368" s="59" t="s">
        <v>176</v>
      </c>
      <c r="F368" s="59" t="s">
        <v>176</v>
      </c>
      <c r="G368" s="34"/>
      <c r="H368" s="34"/>
      <c r="I368" s="34"/>
      <c r="J368" s="34"/>
      <c r="K368" s="34"/>
      <c r="L368" s="34"/>
      <c r="M368" s="34"/>
    </row>
    <row r="369" spans="1:13" ht="16.5" customHeight="1" x14ac:dyDescent="0.15">
      <c r="A369" s="72" t="s">
        <v>166</v>
      </c>
      <c r="B369" s="62" t="s">
        <v>178</v>
      </c>
      <c r="C369" s="62" t="s">
        <v>188</v>
      </c>
      <c r="D369" s="62" t="s">
        <v>188</v>
      </c>
      <c r="E369" s="62" t="s">
        <v>188</v>
      </c>
      <c r="F369" s="62" t="s">
        <v>219</v>
      </c>
      <c r="G369" s="34"/>
      <c r="H369" s="34"/>
      <c r="I369" s="34"/>
      <c r="J369" s="34"/>
      <c r="K369" s="34"/>
      <c r="L369" s="34"/>
      <c r="M369" s="34"/>
    </row>
    <row r="370" spans="1:13" ht="16.5" customHeight="1" x14ac:dyDescent="0.15">
      <c r="A370" s="75">
        <v>3</v>
      </c>
      <c r="B370" s="59" t="s">
        <v>176</v>
      </c>
      <c r="C370" s="59" t="s">
        <v>176</v>
      </c>
      <c r="D370" s="59" t="s">
        <v>176</v>
      </c>
      <c r="E370" s="59" t="s">
        <v>176</v>
      </c>
      <c r="F370" s="59" t="s">
        <v>176</v>
      </c>
      <c r="G370" s="34"/>
      <c r="H370" s="34"/>
      <c r="I370" s="34"/>
      <c r="J370" s="34"/>
      <c r="K370" s="34"/>
      <c r="L370" s="34"/>
      <c r="M370" s="34"/>
    </row>
    <row r="371" spans="1:13" ht="16.5" customHeight="1" x14ac:dyDescent="0.15">
      <c r="A371" s="72" t="s">
        <v>167</v>
      </c>
      <c r="B371" s="62" t="s">
        <v>178</v>
      </c>
      <c r="C371" s="62" t="s">
        <v>188</v>
      </c>
      <c r="D371" s="62" t="s">
        <v>188</v>
      </c>
      <c r="E371" s="62" t="s">
        <v>188</v>
      </c>
      <c r="F371" s="62" t="s">
        <v>219</v>
      </c>
      <c r="G371" s="34"/>
      <c r="H371" s="34"/>
      <c r="I371" s="34"/>
      <c r="J371" s="34"/>
      <c r="K371" s="34"/>
      <c r="L371" s="34"/>
      <c r="M371" s="34"/>
    </row>
    <row r="372" spans="1:13" ht="16.5" customHeight="1" x14ac:dyDescent="0.15">
      <c r="A372" s="75">
        <v>4</v>
      </c>
      <c r="B372" s="59" t="s">
        <v>176</v>
      </c>
      <c r="C372" s="59" t="s">
        <v>176</v>
      </c>
      <c r="D372" s="59" t="s">
        <v>176</v>
      </c>
      <c r="E372" s="59" t="s">
        <v>176</v>
      </c>
      <c r="F372" s="59" t="s">
        <v>176</v>
      </c>
      <c r="G372" s="34"/>
      <c r="H372" s="34"/>
      <c r="I372" s="34"/>
      <c r="J372" s="34"/>
      <c r="K372" s="34"/>
      <c r="L372" s="34"/>
      <c r="M372" s="34"/>
    </row>
    <row r="373" spans="1:13" ht="16.5" customHeight="1" x14ac:dyDescent="0.15">
      <c r="A373" s="72" t="s">
        <v>163</v>
      </c>
      <c r="B373" s="62" t="s">
        <v>178</v>
      </c>
      <c r="C373" s="62" t="s">
        <v>188</v>
      </c>
      <c r="D373" s="62" t="s">
        <v>188</v>
      </c>
      <c r="E373" s="62" t="s">
        <v>188</v>
      </c>
      <c r="F373" s="62" t="s">
        <v>219</v>
      </c>
      <c r="G373" s="34"/>
      <c r="H373" s="34"/>
      <c r="I373" s="34"/>
      <c r="J373" s="34"/>
      <c r="K373" s="34"/>
      <c r="L373" s="34"/>
      <c r="M373" s="34"/>
    </row>
    <row r="374" spans="1:13" ht="16.5" customHeight="1" x14ac:dyDescent="0.15">
      <c r="A374" s="75">
        <v>5</v>
      </c>
      <c r="B374" s="59" t="s">
        <v>176</v>
      </c>
      <c r="C374" s="59" t="s">
        <v>158</v>
      </c>
      <c r="D374" s="59" t="s">
        <v>176</v>
      </c>
      <c r="E374" s="59" t="s">
        <v>176</v>
      </c>
      <c r="F374" s="59" t="s">
        <v>176</v>
      </c>
      <c r="G374" s="34"/>
      <c r="H374" s="34"/>
      <c r="I374" s="34"/>
      <c r="J374" s="34"/>
      <c r="K374" s="34"/>
      <c r="L374" s="34"/>
      <c r="M374" s="34"/>
    </row>
    <row r="375" spans="1:13" ht="16.5" customHeight="1" x14ac:dyDescent="0.15">
      <c r="A375" s="72" t="s">
        <v>165</v>
      </c>
      <c r="B375" s="62" t="s">
        <v>188</v>
      </c>
      <c r="C375" s="62" t="s">
        <v>205</v>
      </c>
      <c r="D375" s="62" t="s">
        <v>219</v>
      </c>
      <c r="E375" s="62" t="s">
        <v>177</v>
      </c>
      <c r="F375" s="62" t="s">
        <v>178</v>
      </c>
      <c r="G375" s="34"/>
      <c r="H375" s="34"/>
      <c r="I375" s="34"/>
      <c r="J375" s="34"/>
      <c r="K375" s="34"/>
      <c r="L375" s="34"/>
      <c r="M375" s="34"/>
    </row>
    <row r="376" spans="1:13" ht="16.5" customHeight="1" x14ac:dyDescent="0.15">
      <c r="A376" s="75">
        <v>6</v>
      </c>
      <c r="B376" s="59" t="s">
        <v>176</v>
      </c>
      <c r="C376" s="59" t="s">
        <v>158</v>
      </c>
      <c r="D376" s="59" t="s">
        <v>176</v>
      </c>
      <c r="E376" s="59" t="s">
        <v>176</v>
      </c>
      <c r="F376" s="59" t="s">
        <v>176</v>
      </c>
      <c r="G376" s="34"/>
      <c r="H376" s="34"/>
      <c r="I376" s="46"/>
      <c r="J376" s="34"/>
      <c r="K376" s="34"/>
      <c r="L376" s="34"/>
      <c r="M376" s="34"/>
    </row>
    <row r="377" spans="1:13" ht="16.5" customHeight="1" x14ac:dyDescent="0.15">
      <c r="A377" s="72" t="s">
        <v>160</v>
      </c>
      <c r="B377" s="62" t="s">
        <v>188</v>
      </c>
      <c r="C377" s="62" t="s">
        <v>205</v>
      </c>
      <c r="D377" s="62" t="s">
        <v>219</v>
      </c>
      <c r="E377" s="62" t="s">
        <v>177</v>
      </c>
      <c r="F377" s="62" t="s">
        <v>178</v>
      </c>
      <c r="G377" s="34"/>
      <c r="H377" s="34"/>
      <c r="I377" s="34"/>
      <c r="J377" s="34"/>
      <c r="K377" s="34"/>
      <c r="L377" s="34"/>
      <c r="M377" s="34"/>
    </row>
    <row r="378" spans="1:13" ht="16.5" customHeight="1" x14ac:dyDescent="0.15">
      <c r="A378" s="75">
        <v>7</v>
      </c>
      <c r="B378" s="59" t="s">
        <v>176</v>
      </c>
      <c r="C378" s="59" t="s">
        <v>158</v>
      </c>
      <c r="D378" s="59" t="s">
        <v>176</v>
      </c>
      <c r="E378" s="59" t="s">
        <v>176</v>
      </c>
      <c r="F378" s="59" t="s">
        <v>176</v>
      </c>
      <c r="G378" s="34"/>
      <c r="H378" s="34"/>
      <c r="I378" s="34"/>
      <c r="J378" s="34"/>
      <c r="K378" s="34"/>
      <c r="L378" s="34"/>
      <c r="M378" s="34"/>
    </row>
    <row r="379" spans="1:13" ht="16.5" customHeight="1" x14ac:dyDescent="0.15">
      <c r="A379" s="72" t="s">
        <v>161</v>
      </c>
      <c r="B379" s="62" t="s">
        <v>188</v>
      </c>
      <c r="C379" s="62" t="s">
        <v>205</v>
      </c>
      <c r="D379" s="62" t="s">
        <v>219</v>
      </c>
      <c r="E379" s="62" t="s">
        <v>177</v>
      </c>
      <c r="F379" s="62" t="s">
        <v>178</v>
      </c>
      <c r="G379" s="34"/>
      <c r="H379" s="34"/>
      <c r="I379" s="34"/>
      <c r="J379" s="34"/>
      <c r="K379" s="34"/>
      <c r="L379" s="34"/>
      <c r="M379" s="34"/>
    </row>
    <row r="380" spans="1:13" ht="16.5" customHeight="1" x14ac:dyDescent="0.15">
      <c r="A380" s="75">
        <v>8</v>
      </c>
      <c r="B380" s="59" t="s">
        <v>176</v>
      </c>
      <c r="C380" s="59" t="s">
        <v>158</v>
      </c>
      <c r="D380" s="59" t="s">
        <v>176</v>
      </c>
      <c r="E380" s="59" t="s">
        <v>176</v>
      </c>
      <c r="F380" s="59" t="s">
        <v>176</v>
      </c>
      <c r="G380" s="34"/>
      <c r="H380" s="34"/>
      <c r="I380" s="34"/>
      <c r="J380" s="34"/>
      <c r="K380" s="34"/>
      <c r="L380" s="34"/>
      <c r="M380" s="34"/>
    </row>
    <row r="381" spans="1:13" ht="16.5" customHeight="1" x14ac:dyDescent="0.15">
      <c r="A381" s="72" t="s">
        <v>168</v>
      </c>
      <c r="B381" s="62" t="s">
        <v>188</v>
      </c>
      <c r="C381" s="62" t="s">
        <v>205</v>
      </c>
      <c r="D381" s="62" t="s">
        <v>219</v>
      </c>
      <c r="E381" s="62" t="s">
        <v>177</v>
      </c>
      <c r="F381" s="62" t="s">
        <v>178</v>
      </c>
      <c r="G381" s="34"/>
      <c r="H381" s="34"/>
      <c r="I381" s="34"/>
      <c r="J381" s="34"/>
      <c r="K381" s="34"/>
      <c r="L381" s="34"/>
      <c r="M381" s="34"/>
    </row>
    <row r="382" spans="1:13" ht="16.5" customHeight="1" x14ac:dyDescent="0.15">
      <c r="A382" s="54" t="s">
        <v>129</v>
      </c>
      <c r="B382" s="54" t="s">
        <v>189</v>
      </c>
      <c r="C382" s="54" t="s">
        <v>182</v>
      </c>
      <c r="D382" s="54" t="s">
        <v>192</v>
      </c>
      <c r="E382" s="54" t="s">
        <v>190</v>
      </c>
      <c r="F382" s="54" t="s">
        <v>180</v>
      </c>
      <c r="G382" s="34"/>
      <c r="H382" s="34"/>
      <c r="I382" s="34"/>
      <c r="J382" s="34"/>
      <c r="K382" s="34"/>
      <c r="L382" s="34"/>
      <c r="M382" s="34"/>
    </row>
    <row r="383" spans="1:13" ht="16.5" customHeight="1" x14ac:dyDescent="0.15">
      <c r="A383" s="55" t="s">
        <v>191</v>
      </c>
      <c r="B383" s="56" t="s">
        <v>78</v>
      </c>
      <c r="C383" s="56" t="s">
        <v>73</v>
      </c>
      <c r="D383" s="56" t="s">
        <v>74</v>
      </c>
      <c r="E383" s="56" t="s">
        <v>76</v>
      </c>
      <c r="F383" s="56" t="s">
        <v>105</v>
      </c>
      <c r="G383" s="34"/>
      <c r="H383" s="34"/>
      <c r="I383" s="34"/>
      <c r="J383" s="34"/>
      <c r="K383" s="34"/>
      <c r="L383" s="34"/>
      <c r="M383" s="34"/>
    </row>
    <row r="384" spans="1:13" ht="16.5" customHeight="1" x14ac:dyDescent="0.15">
      <c r="A384" s="75">
        <v>1</v>
      </c>
      <c r="B384" s="59" t="s">
        <v>176</v>
      </c>
      <c r="C384" s="59" t="s">
        <v>1</v>
      </c>
      <c r="D384" s="59" t="s">
        <v>1</v>
      </c>
      <c r="E384" s="59" t="s">
        <v>1</v>
      </c>
      <c r="F384" s="59" t="s">
        <v>1</v>
      </c>
      <c r="G384" s="34"/>
      <c r="H384" s="34"/>
      <c r="I384" s="34"/>
      <c r="J384" s="34"/>
      <c r="K384" s="34"/>
      <c r="L384" s="34"/>
      <c r="M384" s="34"/>
    </row>
    <row r="385" spans="1:13" ht="16.5" customHeight="1" x14ac:dyDescent="0.15">
      <c r="A385" s="72" t="s">
        <v>164</v>
      </c>
      <c r="B385" s="62" t="s">
        <v>177</v>
      </c>
      <c r="C385" s="62" t="s">
        <v>178</v>
      </c>
      <c r="D385" s="62" t="s">
        <v>177</v>
      </c>
      <c r="E385" s="62" t="s">
        <v>177</v>
      </c>
      <c r="F385" s="62" t="s">
        <v>177</v>
      </c>
      <c r="G385" s="34"/>
      <c r="H385" s="34"/>
      <c r="I385" s="34"/>
      <c r="J385" s="34"/>
      <c r="K385" s="34"/>
      <c r="L385" s="34"/>
      <c r="M385" s="34"/>
    </row>
    <row r="386" spans="1:13" ht="16.5" customHeight="1" x14ac:dyDescent="0.15">
      <c r="A386" s="75">
        <v>2</v>
      </c>
      <c r="B386" s="59" t="s">
        <v>176</v>
      </c>
      <c r="C386" s="59" t="s">
        <v>1</v>
      </c>
      <c r="D386" s="59" t="s">
        <v>1</v>
      </c>
      <c r="E386" s="59" t="s">
        <v>1</v>
      </c>
      <c r="F386" s="59" t="s">
        <v>1</v>
      </c>
      <c r="G386" s="34"/>
      <c r="H386" s="34"/>
      <c r="I386" s="34"/>
      <c r="J386" s="34"/>
      <c r="K386" s="34"/>
      <c r="L386" s="34"/>
      <c r="M386" s="34"/>
    </row>
    <row r="387" spans="1:13" ht="16.5" customHeight="1" x14ac:dyDescent="0.15">
      <c r="A387" s="72" t="s">
        <v>166</v>
      </c>
      <c r="B387" s="62" t="s">
        <v>177</v>
      </c>
      <c r="C387" s="62" t="s">
        <v>178</v>
      </c>
      <c r="D387" s="62" t="s">
        <v>177</v>
      </c>
      <c r="E387" s="62" t="s">
        <v>177</v>
      </c>
      <c r="F387" s="62" t="s">
        <v>177</v>
      </c>
      <c r="G387" s="34"/>
      <c r="H387" s="34"/>
      <c r="I387" s="34"/>
      <c r="J387" s="34"/>
      <c r="K387" s="34"/>
      <c r="L387" s="34"/>
      <c r="M387" s="34"/>
    </row>
    <row r="388" spans="1:13" ht="16.5" customHeight="1" x14ac:dyDescent="0.15">
      <c r="A388" s="75">
        <v>3</v>
      </c>
      <c r="B388" s="59" t="s">
        <v>176</v>
      </c>
      <c r="C388" s="59" t="s">
        <v>1</v>
      </c>
      <c r="D388" s="59" t="s">
        <v>1</v>
      </c>
      <c r="E388" s="59" t="s">
        <v>1</v>
      </c>
      <c r="F388" s="59" t="s">
        <v>1</v>
      </c>
      <c r="G388" s="34"/>
      <c r="H388" s="34"/>
      <c r="I388" s="34"/>
      <c r="J388" s="34"/>
      <c r="K388" s="34"/>
      <c r="L388" s="34"/>
      <c r="M388" s="34"/>
    </row>
    <row r="389" spans="1:13" ht="16.5" customHeight="1" x14ac:dyDescent="0.15">
      <c r="A389" s="72" t="s">
        <v>167</v>
      </c>
      <c r="B389" s="62" t="s">
        <v>177</v>
      </c>
      <c r="C389" s="62" t="s">
        <v>178</v>
      </c>
      <c r="D389" s="62" t="s">
        <v>177</v>
      </c>
      <c r="E389" s="62" t="s">
        <v>177</v>
      </c>
      <c r="F389" s="62" t="s">
        <v>177</v>
      </c>
      <c r="G389" s="34"/>
      <c r="H389" s="34"/>
      <c r="I389" s="34"/>
      <c r="J389" s="34"/>
      <c r="K389" s="34"/>
      <c r="L389" s="34"/>
      <c r="M389" s="34"/>
    </row>
    <row r="390" spans="1:13" ht="16.5" customHeight="1" x14ac:dyDescent="0.15">
      <c r="A390" s="75">
        <v>4</v>
      </c>
      <c r="B390" s="59" t="s">
        <v>176</v>
      </c>
      <c r="C390" s="59" t="s">
        <v>1</v>
      </c>
      <c r="D390" s="59" t="s">
        <v>1</v>
      </c>
      <c r="E390" s="59" t="s">
        <v>1</v>
      </c>
      <c r="F390" s="59" t="s">
        <v>1</v>
      </c>
      <c r="G390" s="34"/>
      <c r="H390" s="34"/>
      <c r="I390" s="34"/>
      <c r="J390" s="34"/>
      <c r="K390" s="34"/>
      <c r="L390" s="34"/>
      <c r="M390" s="34"/>
    </row>
    <row r="391" spans="1:13" ht="16.5" customHeight="1" x14ac:dyDescent="0.15">
      <c r="A391" s="72" t="s">
        <v>163</v>
      </c>
      <c r="B391" s="62" t="s">
        <v>177</v>
      </c>
      <c r="C391" s="62" t="s">
        <v>178</v>
      </c>
      <c r="D391" s="62" t="s">
        <v>177</v>
      </c>
      <c r="E391" s="62" t="s">
        <v>177</v>
      </c>
      <c r="F391" s="62" t="s">
        <v>177</v>
      </c>
      <c r="G391" s="34"/>
      <c r="H391" s="34"/>
      <c r="I391" s="34"/>
      <c r="J391" s="34"/>
      <c r="K391" s="34"/>
      <c r="L391" s="34"/>
      <c r="M391" s="34"/>
    </row>
    <row r="392" spans="1:13" ht="16.5" customHeight="1" x14ac:dyDescent="0.15">
      <c r="A392" s="75">
        <v>5</v>
      </c>
      <c r="B392" s="59" t="s">
        <v>176</v>
      </c>
      <c r="C392" s="59" t="s">
        <v>1</v>
      </c>
      <c r="D392" s="59" t="s">
        <v>1</v>
      </c>
      <c r="E392" s="59" t="s">
        <v>1</v>
      </c>
      <c r="F392" s="59" t="s">
        <v>1</v>
      </c>
      <c r="G392" s="34"/>
      <c r="H392" s="34"/>
      <c r="I392" s="34"/>
      <c r="J392" s="34"/>
      <c r="K392" s="34"/>
      <c r="L392" s="34"/>
      <c r="M392" s="34"/>
    </row>
    <row r="393" spans="1:13" ht="16.5" customHeight="1" x14ac:dyDescent="0.15">
      <c r="A393" s="72" t="s">
        <v>165</v>
      </c>
      <c r="B393" s="62" t="s">
        <v>178</v>
      </c>
      <c r="C393" s="62" t="s">
        <v>177</v>
      </c>
      <c r="D393" s="62" t="s">
        <v>197</v>
      </c>
      <c r="E393" s="62" t="s">
        <v>178</v>
      </c>
      <c r="F393" s="62" t="s">
        <v>197</v>
      </c>
      <c r="G393" s="34"/>
      <c r="H393" s="34"/>
      <c r="I393" s="34"/>
      <c r="J393" s="34"/>
      <c r="K393" s="34"/>
      <c r="L393" s="34"/>
      <c r="M393" s="34"/>
    </row>
    <row r="394" spans="1:13" ht="16.5" customHeight="1" x14ac:dyDescent="0.15">
      <c r="A394" s="75">
        <v>6</v>
      </c>
      <c r="B394" s="59" t="s">
        <v>1</v>
      </c>
      <c r="C394" s="59" t="s">
        <v>1</v>
      </c>
      <c r="D394" s="59" t="s">
        <v>1</v>
      </c>
      <c r="E394" s="59" t="s">
        <v>1</v>
      </c>
      <c r="F394" s="59" t="s">
        <v>1</v>
      </c>
      <c r="G394" s="34"/>
      <c r="H394" s="34"/>
      <c r="I394" s="34"/>
      <c r="J394" s="34"/>
      <c r="K394" s="34"/>
      <c r="L394" s="34"/>
      <c r="M394" s="34"/>
    </row>
    <row r="395" spans="1:13" ht="16.5" customHeight="1" x14ac:dyDescent="0.15">
      <c r="A395" s="72" t="s">
        <v>160</v>
      </c>
      <c r="B395" s="62" t="s">
        <v>178</v>
      </c>
      <c r="C395" s="62" t="s">
        <v>177</v>
      </c>
      <c r="D395" s="62" t="s">
        <v>197</v>
      </c>
      <c r="E395" s="62" t="s">
        <v>178</v>
      </c>
      <c r="F395" s="62" t="s">
        <v>197</v>
      </c>
      <c r="G395" s="34"/>
      <c r="H395" s="34"/>
      <c r="I395" s="34"/>
      <c r="J395" s="34"/>
      <c r="K395" s="34"/>
      <c r="L395" s="34"/>
      <c r="M395" s="34"/>
    </row>
    <row r="396" spans="1:13" ht="16.5" customHeight="1" x14ac:dyDescent="0.15">
      <c r="A396" s="75">
        <v>7</v>
      </c>
      <c r="B396" s="59" t="s">
        <v>1</v>
      </c>
      <c r="C396" s="59" t="s">
        <v>1</v>
      </c>
      <c r="D396" s="59" t="s">
        <v>1</v>
      </c>
      <c r="E396" s="59" t="s">
        <v>1</v>
      </c>
      <c r="F396" s="59" t="s">
        <v>1</v>
      </c>
      <c r="G396" s="34"/>
      <c r="H396" s="34"/>
      <c r="I396" s="34"/>
      <c r="J396" s="34"/>
      <c r="K396" s="34"/>
      <c r="L396" s="34"/>
      <c r="M396" s="34"/>
    </row>
    <row r="397" spans="1:13" ht="16.5" customHeight="1" x14ac:dyDescent="0.15">
      <c r="A397" s="72" t="s">
        <v>161</v>
      </c>
      <c r="B397" s="62" t="s">
        <v>178</v>
      </c>
      <c r="C397" s="62" t="s">
        <v>177</v>
      </c>
      <c r="D397" s="62" t="s">
        <v>197</v>
      </c>
      <c r="E397" s="62" t="s">
        <v>178</v>
      </c>
      <c r="F397" s="62" t="s">
        <v>197</v>
      </c>
      <c r="G397" s="34"/>
      <c r="H397" s="34"/>
      <c r="I397" s="34"/>
      <c r="J397" s="34"/>
      <c r="K397" s="34"/>
      <c r="L397" s="34"/>
      <c r="M397" s="34"/>
    </row>
    <row r="398" spans="1:13" ht="16.5" customHeight="1" x14ac:dyDescent="0.15">
      <c r="A398" s="75">
        <v>8</v>
      </c>
      <c r="B398" s="59" t="s">
        <v>1</v>
      </c>
      <c r="C398" s="59" t="s">
        <v>1</v>
      </c>
      <c r="D398" s="59" t="s">
        <v>1</v>
      </c>
      <c r="E398" s="59" t="s">
        <v>1</v>
      </c>
      <c r="F398" s="59" t="s">
        <v>1</v>
      </c>
      <c r="G398" s="34"/>
      <c r="H398" s="34"/>
      <c r="I398" s="34"/>
      <c r="J398" s="34"/>
      <c r="K398" s="34"/>
      <c r="L398" s="34"/>
      <c r="M398" s="34"/>
    </row>
    <row r="399" spans="1:13" ht="16.5" customHeight="1" x14ac:dyDescent="0.15">
      <c r="A399" s="72" t="s">
        <v>168</v>
      </c>
      <c r="B399" s="62" t="s">
        <v>178</v>
      </c>
      <c r="C399" s="62" t="s">
        <v>177</v>
      </c>
      <c r="D399" s="62" t="s">
        <v>197</v>
      </c>
      <c r="E399" s="62" t="s">
        <v>178</v>
      </c>
      <c r="F399" s="62" t="s">
        <v>197</v>
      </c>
      <c r="G399" s="34"/>
      <c r="H399" s="34"/>
      <c r="I399" s="34"/>
      <c r="J399" s="34"/>
      <c r="K399" s="34"/>
      <c r="L399" s="34"/>
      <c r="M399" s="34"/>
    </row>
    <row r="400" spans="1:13" ht="16.5" customHeight="1" x14ac:dyDescent="0.15">
      <c r="A400" s="54" t="s">
        <v>131</v>
      </c>
      <c r="B400" s="54" t="s">
        <v>189</v>
      </c>
      <c r="C400" s="54" t="s">
        <v>182</v>
      </c>
      <c r="D400" s="54" t="s">
        <v>192</v>
      </c>
      <c r="E400" s="54" t="s">
        <v>190</v>
      </c>
      <c r="F400" s="54" t="s">
        <v>180</v>
      </c>
      <c r="G400" s="34"/>
      <c r="H400" s="34"/>
      <c r="I400" s="34"/>
      <c r="J400" s="34"/>
      <c r="K400" s="34"/>
      <c r="L400" s="34"/>
      <c r="M400" s="34"/>
    </row>
    <row r="401" spans="1:13" ht="16.5" customHeight="1" x14ac:dyDescent="0.15">
      <c r="A401" s="55" t="s">
        <v>191</v>
      </c>
      <c r="B401" s="56" t="s">
        <v>100</v>
      </c>
      <c r="C401" s="56" t="s">
        <v>101</v>
      </c>
      <c r="D401" s="56" t="s">
        <v>106</v>
      </c>
      <c r="E401" s="56" t="s">
        <v>111</v>
      </c>
      <c r="F401" s="56" t="s">
        <v>113</v>
      </c>
      <c r="G401" s="34"/>
      <c r="H401" s="34"/>
      <c r="I401" s="34"/>
      <c r="J401" s="34"/>
      <c r="K401" s="34"/>
      <c r="L401" s="34"/>
      <c r="M401" s="34"/>
    </row>
    <row r="402" spans="1:13" ht="16.5" customHeight="1" x14ac:dyDescent="0.15">
      <c r="A402" s="75">
        <v>1</v>
      </c>
      <c r="B402" s="59" t="s">
        <v>1</v>
      </c>
      <c r="C402" s="59" t="s">
        <v>1</v>
      </c>
      <c r="D402" s="59" t="s">
        <v>1</v>
      </c>
      <c r="E402" s="59" t="s">
        <v>1</v>
      </c>
      <c r="F402" s="59" t="s">
        <v>1</v>
      </c>
      <c r="G402" s="34"/>
      <c r="H402" s="34"/>
      <c r="I402" s="34"/>
      <c r="J402" s="34"/>
      <c r="K402" s="34"/>
      <c r="L402" s="34"/>
      <c r="M402" s="34"/>
    </row>
    <row r="403" spans="1:13" ht="16.5" customHeight="1" x14ac:dyDescent="0.15">
      <c r="A403" s="72" t="s">
        <v>164</v>
      </c>
      <c r="B403" s="62" t="s">
        <v>197</v>
      </c>
      <c r="C403" s="62" t="s">
        <v>188</v>
      </c>
      <c r="D403" s="62" t="s">
        <v>188</v>
      </c>
      <c r="E403" s="62" t="s">
        <v>188</v>
      </c>
      <c r="F403" s="62" t="s">
        <v>197</v>
      </c>
      <c r="G403" s="34"/>
      <c r="H403" s="34"/>
      <c r="I403" s="34"/>
      <c r="J403" s="34"/>
      <c r="K403" s="34"/>
      <c r="L403" s="34"/>
      <c r="M403" s="34"/>
    </row>
    <row r="404" spans="1:13" ht="16.5" customHeight="1" x14ac:dyDescent="0.15">
      <c r="A404" s="75">
        <v>2</v>
      </c>
      <c r="B404" s="59" t="s">
        <v>1</v>
      </c>
      <c r="C404" s="59" t="s">
        <v>1</v>
      </c>
      <c r="D404" s="59" t="s">
        <v>1</v>
      </c>
      <c r="E404" s="59" t="s">
        <v>1</v>
      </c>
      <c r="F404" s="59" t="s">
        <v>1</v>
      </c>
      <c r="G404" s="34"/>
      <c r="H404" s="34"/>
      <c r="I404" s="34"/>
      <c r="J404" s="34"/>
      <c r="K404" s="34"/>
      <c r="L404" s="34"/>
      <c r="M404" s="34"/>
    </row>
    <row r="405" spans="1:13" ht="16.5" customHeight="1" x14ac:dyDescent="0.15">
      <c r="A405" s="72" t="s">
        <v>166</v>
      </c>
      <c r="B405" s="62" t="s">
        <v>197</v>
      </c>
      <c r="C405" s="62" t="s">
        <v>188</v>
      </c>
      <c r="D405" s="62" t="s">
        <v>188</v>
      </c>
      <c r="E405" s="62" t="s">
        <v>188</v>
      </c>
      <c r="F405" s="62" t="s">
        <v>197</v>
      </c>
      <c r="G405" s="34"/>
      <c r="H405" s="34"/>
      <c r="I405" s="34"/>
      <c r="J405" s="34"/>
      <c r="K405" s="34"/>
      <c r="L405" s="34"/>
      <c r="M405" s="34"/>
    </row>
    <row r="406" spans="1:13" ht="16.5" customHeight="1" x14ac:dyDescent="0.15">
      <c r="A406" s="75">
        <v>3</v>
      </c>
      <c r="B406" s="59" t="s">
        <v>1</v>
      </c>
      <c r="C406" s="59" t="s">
        <v>1</v>
      </c>
      <c r="D406" s="59" t="s">
        <v>1</v>
      </c>
      <c r="E406" s="59" t="s">
        <v>1</v>
      </c>
      <c r="F406" s="59" t="s">
        <v>1</v>
      </c>
      <c r="G406" s="34"/>
      <c r="H406" s="34"/>
      <c r="I406" s="34"/>
      <c r="J406" s="34"/>
      <c r="K406" s="34"/>
      <c r="L406" s="34"/>
      <c r="M406" s="34"/>
    </row>
    <row r="407" spans="1:13" ht="16.5" customHeight="1" x14ac:dyDescent="0.15">
      <c r="A407" s="72" t="s">
        <v>167</v>
      </c>
      <c r="B407" s="62" t="s">
        <v>197</v>
      </c>
      <c r="C407" s="62" t="s">
        <v>188</v>
      </c>
      <c r="D407" s="62" t="s">
        <v>188</v>
      </c>
      <c r="E407" s="62" t="s">
        <v>188</v>
      </c>
      <c r="F407" s="62" t="s">
        <v>197</v>
      </c>
      <c r="G407" s="34"/>
      <c r="H407" s="34"/>
      <c r="I407" s="34"/>
      <c r="J407" s="34"/>
      <c r="K407" s="34"/>
      <c r="L407" s="34"/>
      <c r="M407" s="34"/>
    </row>
    <row r="408" spans="1:13" ht="16.5" customHeight="1" x14ac:dyDescent="0.15">
      <c r="A408" s="75">
        <v>4</v>
      </c>
      <c r="B408" s="59" t="s">
        <v>1</v>
      </c>
      <c r="C408" s="59" t="s">
        <v>1</v>
      </c>
      <c r="D408" s="59" t="s">
        <v>1</v>
      </c>
      <c r="E408" s="59" t="s">
        <v>1</v>
      </c>
      <c r="F408" s="59" t="s">
        <v>1</v>
      </c>
      <c r="G408" s="34"/>
      <c r="H408" s="34"/>
      <c r="I408" s="34"/>
      <c r="J408" s="34"/>
      <c r="K408" s="34"/>
      <c r="L408" s="34"/>
      <c r="M408" s="34"/>
    </row>
    <row r="409" spans="1:13" ht="16.5" customHeight="1" x14ac:dyDescent="0.15">
      <c r="A409" s="72" t="s">
        <v>163</v>
      </c>
      <c r="B409" s="62" t="s">
        <v>197</v>
      </c>
      <c r="C409" s="62" t="s">
        <v>188</v>
      </c>
      <c r="D409" s="62" t="s">
        <v>188</v>
      </c>
      <c r="E409" s="62" t="s">
        <v>188</v>
      </c>
      <c r="F409" s="62" t="s">
        <v>197</v>
      </c>
      <c r="G409" s="34"/>
      <c r="H409" s="34"/>
      <c r="I409" s="34"/>
      <c r="J409" s="34"/>
      <c r="K409" s="34"/>
      <c r="L409" s="34"/>
      <c r="M409" s="34"/>
    </row>
    <row r="410" spans="1:13" ht="16.5" customHeight="1" x14ac:dyDescent="0.15">
      <c r="A410" s="75">
        <v>5</v>
      </c>
      <c r="B410" s="59" t="s">
        <v>1</v>
      </c>
      <c r="C410" s="59" t="s">
        <v>1</v>
      </c>
      <c r="D410" s="59" t="s">
        <v>1</v>
      </c>
      <c r="E410" s="59" t="s">
        <v>1</v>
      </c>
      <c r="F410" s="59" t="s">
        <v>1</v>
      </c>
      <c r="G410" s="34"/>
      <c r="H410" s="34"/>
      <c r="I410" s="34"/>
      <c r="J410" s="34"/>
      <c r="K410" s="34"/>
      <c r="L410" s="34"/>
      <c r="M410" s="34"/>
    </row>
    <row r="411" spans="1:13" ht="16.5" customHeight="1" x14ac:dyDescent="0.15">
      <c r="A411" s="72" t="s">
        <v>165</v>
      </c>
      <c r="B411" s="62" t="s">
        <v>178</v>
      </c>
      <c r="C411" s="62" t="s">
        <v>177</v>
      </c>
      <c r="D411" s="62" t="s">
        <v>178</v>
      </c>
      <c r="E411" s="62" t="s">
        <v>177</v>
      </c>
      <c r="F411" s="62" t="s">
        <v>178</v>
      </c>
      <c r="G411" s="34"/>
      <c r="H411" s="34"/>
      <c r="I411" s="34"/>
      <c r="J411" s="34"/>
      <c r="K411" s="34"/>
      <c r="L411" s="34"/>
      <c r="M411" s="34"/>
    </row>
    <row r="412" spans="1:13" ht="16.5" customHeight="1" x14ac:dyDescent="0.15">
      <c r="A412" s="75">
        <v>6</v>
      </c>
      <c r="B412" s="59" t="s">
        <v>1</v>
      </c>
      <c r="C412" s="59" t="s">
        <v>1</v>
      </c>
      <c r="D412" s="59" t="s">
        <v>1</v>
      </c>
      <c r="E412" s="59" t="s">
        <v>1</v>
      </c>
      <c r="F412" s="59" t="s">
        <v>1</v>
      </c>
      <c r="G412" s="34"/>
      <c r="H412" s="34"/>
      <c r="I412" s="34"/>
      <c r="J412" s="34"/>
      <c r="K412" s="34"/>
      <c r="L412" s="34"/>
      <c r="M412" s="34"/>
    </row>
    <row r="413" spans="1:13" ht="16.5" customHeight="1" x14ac:dyDescent="0.15">
      <c r="A413" s="72" t="s">
        <v>160</v>
      </c>
      <c r="B413" s="62" t="s">
        <v>178</v>
      </c>
      <c r="C413" s="62" t="s">
        <v>177</v>
      </c>
      <c r="D413" s="62" t="s">
        <v>178</v>
      </c>
      <c r="E413" s="62" t="s">
        <v>177</v>
      </c>
      <c r="F413" s="62" t="s">
        <v>178</v>
      </c>
      <c r="G413" s="34"/>
      <c r="H413" s="34"/>
      <c r="I413" s="34"/>
      <c r="J413" s="34"/>
      <c r="K413" s="34"/>
      <c r="L413" s="34"/>
      <c r="M413" s="34"/>
    </row>
    <row r="414" spans="1:13" ht="16.5" customHeight="1" x14ac:dyDescent="0.15">
      <c r="A414" s="75">
        <v>7</v>
      </c>
      <c r="B414" s="59" t="s">
        <v>1</v>
      </c>
      <c r="C414" s="59" t="s">
        <v>1</v>
      </c>
      <c r="D414" s="59" t="s">
        <v>1</v>
      </c>
      <c r="E414" s="59" t="s">
        <v>1</v>
      </c>
      <c r="F414" s="59" t="s">
        <v>1</v>
      </c>
      <c r="G414" s="34"/>
      <c r="H414" s="34"/>
      <c r="I414" s="34"/>
      <c r="J414" s="34"/>
      <c r="K414" s="34"/>
      <c r="L414" s="34"/>
      <c r="M414" s="34"/>
    </row>
    <row r="415" spans="1:13" ht="16.5" customHeight="1" x14ac:dyDescent="0.15">
      <c r="A415" s="72" t="s">
        <v>161</v>
      </c>
      <c r="B415" s="62" t="s">
        <v>178</v>
      </c>
      <c r="C415" s="62" t="s">
        <v>177</v>
      </c>
      <c r="D415" s="62" t="s">
        <v>178</v>
      </c>
      <c r="E415" s="62" t="s">
        <v>177</v>
      </c>
      <c r="F415" s="62" t="s">
        <v>178</v>
      </c>
      <c r="G415" s="34"/>
      <c r="H415" s="34"/>
      <c r="I415" s="34"/>
      <c r="J415" s="34"/>
      <c r="K415" s="34"/>
      <c r="L415" s="34"/>
      <c r="M415" s="34"/>
    </row>
    <row r="416" spans="1:13" ht="16.5" customHeight="1" x14ac:dyDescent="0.15">
      <c r="A416" s="75">
        <v>8</v>
      </c>
      <c r="B416" s="59" t="s">
        <v>1</v>
      </c>
      <c r="C416" s="59" t="s">
        <v>1</v>
      </c>
      <c r="D416" s="59" t="s">
        <v>1</v>
      </c>
      <c r="E416" s="59" t="s">
        <v>1</v>
      </c>
      <c r="F416" s="59" t="s">
        <v>1</v>
      </c>
      <c r="G416" s="34"/>
      <c r="H416" s="34"/>
      <c r="I416" s="34"/>
      <c r="J416" s="34"/>
      <c r="K416" s="34"/>
      <c r="L416" s="34"/>
      <c r="M416" s="34"/>
    </row>
    <row r="417" spans="1:13" ht="16.5" customHeight="1" x14ac:dyDescent="0.15">
      <c r="A417" s="72" t="s">
        <v>168</v>
      </c>
      <c r="B417" s="62" t="s">
        <v>178</v>
      </c>
      <c r="C417" s="62" t="s">
        <v>177</v>
      </c>
      <c r="D417" s="62" t="s">
        <v>178</v>
      </c>
      <c r="E417" s="62" t="s">
        <v>177</v>
      </c>
      <c r="F417" s="62" t="s">
        <v>178</v>
      </c>
      <c r="G417" s="34"/>
      <c r="H417" s="34"/>
      <c r="I417" s="34"/>
      <c r="J417" s="34"/>
      <c r="K417" s="34"/>
      <c r="L417" s="34"/>
      <c r="M417" s="34"/>
    </row>
    <row r="418" spans="1:13" ht="16.5" customHeight="1" x14ac:dyDescent="0.15">
      <c r="A418" s="54" t="s">
        <v>136</v>
      </c>
      <c r="B418" s="54" t="s">
        <v>189</v>
      </c>
      <c r="C418" s="54" t="s">
        <v>182</v>
      </c>
      <c r="D418" s="54" t="s">
        <v>192</v>
      </c>
      <c r="E418" s="54" t="s">
        <v>190</v>
      </c>
      <c r="F418" s="54" t="s">
        <v>180</v>
      </c>
      <c r="G418" s="34"/>
      <c r="H418" s="34"/>
      <c r="I418" s="34"/>
      <c r="J418" s="34"/>
      <c r="K418" s="34"/>
      <c r="L418" s="34"/>
      <c r="M418" s="34"/>
    </row>
    <row r="419" spans="1:13" ht="16.5" customHeight="1" x14ac:dyDescent="0.15">
      <c r="A419" s="55" t="s">
        <v>191</v>
      </c>
      <c r="B419" s="56" t="s">
        <v>112</v>
      </c>
      <c r="C419" s="56" t="s">
        <v>108</v>
      </c>
      <c r="D419" s="56" t="s">
        <v>102</v>
      </c>
      <c r="E419" s="56" t="s">
        <v>103</v>
      </c>
      <c r="F419" s="56" t="s">
        <v>104</v>
      </c>
      <c r="G419" s="34"/>
      <c r="H419" s="34"/>
      <c r="I419" s="34"/>
      <c r="J419" s="34"/>
      <c r="K419" s="34"/>
      <c r="L419" s="34"/>
      <c r="M419" s="34"/>
    </row>
    <row r="420" spans="1:13" ht="16.5" customHeight="1" x14ac:dyDescent="0.15">
      <c r="A420" s="75">
        <v>1</v>
      </c>
      <c r="B420" s="59" t="s">
        <v>1</v>
      </c>
      <c r="C420" s="59" t="s">
        <v>1</v>
      </c>
      <c r="D420" s="59" t="s">
        <v>1</v>
      </c>
      <c r="E420" s="59" t="s">
        <v>1</v>
      </c>
      <c r="F420" s="59" t="s">
        <v>1</v>
      </c>
      <c r="G420" s="34"/>
      <c r="H420" s="34"/>
      <c r="I420" s="34"/>
      <c r="J420" s="34"/>
      <c r="K420" s="34"/>
      <c r="L420" s="34"/>
      <c r="M420" s="34"/>
    </row>
    <row r="421" spans="1:13" ht="16.5" customHeight="1" x14ac:dyDescent="0.15">
      <c r="A421" s="72" t="s">
        <v>164</v>
      </c>
      <c r="B421" s="62" t="s">
        <v>188</v>
      </c>
      <c r="C421" s="62" t="s">
        <v>188</v>
      </c>
      <c r="D421" s="62" t="s">
        <v>197</v>
      </c>
      <c r="E421" s="62" t="s">
        <v>188</v>
      </c>
      <c r="F421" s="62" t="s">
        <v>178</v>
      </c>
      <c r="G421" s="34"/>
      <c r="H421" s="34"/>
      <c r="I421" s="34"/>
      <c r="J421" s="34"/>
      <c r="K421" s="34"/>
      <c r="L421" s="34"/>
      <c r="M421" s="34"/>
    </row>
    <row r="422" spans="1:13" ht="16.5" customHeight="1" x14ac:dyDescent="0.15">
      <c r="A422" s="75">
        <v>2</v>
      </c>
      <c r="B422" s="59" t="s">
        <v>1</v>
      </c>
      <c r="C422" s="59" t="s">
        <v>1</v>
      </c>
      <c r="D422" s="59" t="s">
        <v>1</v>
      </c>
      <c r="E422" s="59" t="s">
        <v>1</v>
      </c>
      <c r="F422" s="59" t="s">
        <v>1</v>
      </c>
      <c r="G422" s="34"/>
      <c r="H422" s="34"/>
      <c r="I422" s="34"/>
      <c r="J422" s="34"/>
      <c r="K422" s="34"/>
      <c r="L422" s="34"/>
      <c r="M422" s="34"/>
    </row>
    <row r="423" spans="1:13" ht="16.5" customHeight="1" x14ac:dyDescent="0.15">
      <c r="A423" s="72" t="s">
        <v>166</v>
      </c>
      <c r="B423" s="62" t="s">
        <v>188</v>
      </c>
      <c r="C423" s="62" t="s">
        <v>188</v>
      </c>
      <c r="D423" s="62" t="s">
        <v>197</v>
      </c>
      <c r="E423" s="62" t="s">
        <v>188</v>
      </c>
      <c r="F423" s="62" t="s">
        <v>178</v>
      </c>
      <c r="G423" s="34"/>
      <c r="H423" s="34"/>
      <c r="I423" s="34"/>
      <c r="J423" s="34"/>
      <c r="K423" s="34"/>
      <c r="L423" s="34"/>
      <c r="M423" s="34"/>
    </row>
    <row r="424" spans="1:13" ht="16.5" customHeight="1" x14ac:dyDescent="0.15">
      <c r="A424" s="75">
        <v>3</v>
      </c>
      <c r="B424" s="59" t="s">
        <v>1</v>
      </c>
      <c r="C424" s="59" t="s">
        <v>1</v>
      </c>
      <c r="D424" s="59" t="s">
        <v>1</v>
      </c>
      <c r="E424" s="59" t="s">
        <v>1</v>
      </c>
      <c r="F424" s="59" t="s">
        <v>1</v>
      </c>
      <c r="G424" s="34"/>
      <c r="H424" s="34"/>
      <c r="I424" s="34"/>
      <c r="J424" s="34"/>
      <c r="K424" s="34"/>
      <c r="L424" s="34"/>
      <c r="M424" s="34"/>
    </row>
    <row r="425" spans="1:13" ht="16.5" customHeight="1" x14ac:dyDescent="0.15">
      <c r="A425" s="72" t="s">
        <v>167</v>
      </c>
      <c r="B425" s="62" t="s">
        <v>188</v>
      </c>
      <c r="C425" s="62" t="s">
        <v>188</v>
      </c>
      <c r="D425" s="62" t="s">
        <v>197</v>
      </c>
      <c r="E425" s="62" t="s">
        <v>188</v>
      </c>
      <c r="F425" s="62" t="s">
        <v>178</v>
      </c>
      <c r="G425" s="34"/>
      <c r="H425" s="34"/>
      <c r="I425" s="34"/>
      <c r="J425" s="34"/>
      <c r="K425" s="34"/>
      <c r="L425" s="34"/>
      <c r="M425" s="34"/>
    </row>
    <row r="426" spans="1:13" ht="16.5" customHeight="1" x14ac:dyDescent="0.15">
      <c r="A426" s="75">
        <v>4</v>
      </c>
      <c r="B426" s="59" t="s">
        <v>1</v>
      </c>
      <c r="C426" s="59" t="s">
        <v>1</v>
      </c>
      <c r="D426" s="59" t="s">
        <v>1</v>
      </c>
      <c r="E426" s="59" t="s">
        <v>1</v>
      </c>
      <c r="F426" s="59" t="s">
        <v>1</v>
      </c>
      <c r="G426" s="34"/>
      <c r="H426" s="34"/>
      <c r="I426" s="34"/>
      <c r="J426" s="34"/>
      <c r="K426" s="34"/>
      <c r="L426" s="34"/>
      <c r="M426" s="34"/>
    </row>
    <row r="427" spans="1:13" ht="16.5" customHeight="1" x14ac:dyDescent="0.15">
      <c r="A427" s="72" t="s">
        <v>163</v>
      </c>
      <c r="B427" s="62" t="s">
        <v>188</v>
      </c>
      <c r="C427" s="62" t="s">
        <v>188</v>
      </c>
      <c r="D427" s="62" t="s">
        <v>197</v>
      </c>
      <c r="E427" s="62" t="s">
        <v>188</v>
      </c>
      <c r="F427" s="62" t="s">
        <v>178</v>
      </c>
      <c r="G427" s="34"/>
      <c r="H427" s="34"/>
      <c r="I427" s="34"/>
      <c r="J427" s="34"/>
      <c r="K427" s="34"/>
      <c r="L427" s="34"/>
      <c r="M427" s="34"/>
    </row>
    <row r="428" spans="1:13" ht="16.5" customHeight="1" x14ac:dyDescent="0.15">
      <c r="A428" s="75">
        <v>5</v>
      </c>
      <c r="B428" s="59" t="s">
        <v>1</v>
      </c>
      <c r="C428" s="59" t="s">
        <v>1</v>
      </c>
      <c r="D428" s="59" t="s">
        <v>1</v>
      </c>
      <c r="E428" s="59" t="s">
        <v>1</v>
      </c>
      <c r="F428" s="59" t="s">
        <v>1</v>
      </c>
      <c r="G428" s="34"/>
      <c r="H428" s="50"/>
      <c r="I428" s="34"/>
      <c r="J428" s="34"/>
      <c r="K428" s="34"/>
      <c r="L428" s="34"/>
      <c r="M428" s="34"/>
    </row>
    <row r="429" spans="1:13" ht="16.5" customHeight="1" x14ac:dyDescent="0.15">
      <c r="A429" s="72" t="s">
        <v>165</v>
      </c>
      <c r="B429" s="62" t="s">
        <v>178</v>
      </c>
      <c r="C429" s="62" t="s">
        <v>177</v>
      </c>
      <c r="D429" s="62" t="s">
        <v>178</v>
      </c>
      <c r="E429" s="62" t="s">
        <v>177</v>
      </c>
      <c r="F429" s="62" t="s">
        <v>197</v>
      </c>
      <c r="G429" s="34"/>
      <c r="H429" s="34"/>
      <c r="I429" s="34"/>
      <c r="J429" s="34"/>
      <c r="K429" s="34"/>
      <c r="L429" s="34"/>
      <c r="M429" s="34"/>
    </row>
    <row r="430" spans="1:13" ht="16.5" customHeight="1" x14ac:dyDescent="0.15">
      <c r="A430" s="75">
        <v>6</v>
      </c>
      <c r="B430" s="59" t="s">
        <v>1</v>
      </c>
      <c r="C430" s="59" t="s">
        <v>1</v>
      </c>
      <c r="D430" s="59" t="s">
        <v>1</v>
      </c>
      <c r="E430" s="59" t="s">
        <v>1</v>
      </c>
      <c r="F430" s="59" t="s">
        <v>1</v>
      </c>
      <c r="G430" s="34"/>
      <c r="H430" s="34"/>
      <c r="I430" s="34"/>
      <c r="J430" s="34"/>
      <c r="K430" s="34"/>
      <c r="L430" s="34"/>
      <c r="M430" s="34"/>
    </row>
    <row r="431" spans="1:13" ht="16.5" customHeight="1" x14ac:dyDescent="0.15">
      <c r="A431" s="72" t="s">
        <v>160</v>
      </c>
      <c r="B431" s="62" t="s">
        <v>178</v>
      </c>
      <c r="C431" s="62" t="s">
        <v>177</v>
      </c>
      <c r="D431" s="62" t="s">
        <v>178</v>
      </c>
      <c r="E431" s="62" t="s">
        <v>177</v>
      </c>
      <c r="F431" s="62" t="s">
        <v>197</v>
      </c>
      <c r="G431" s="34"/>
      <c r="H431" s="34"/>
      <c r="I431" s="34"/>
      <c r="J431" s="34"/>
      <c r="K431" s="34"/>
      <c r="L431" s="34"/>
      <c r="M431" s="34"/>
    </row>
    <row r="432" spans="1:13" ht="16.5" customHeight="1" x14ac:dyDescent="0.15">
      <c r="A432" s="75">
        <v>7</v>
      </c>
      <c r="B432" s="59" t="s">
        <v>1</v>
      </c>
      <c r="C432" s="59" t="s">
        <v>1</v>
      </c>
      <c r="D432" s="59" t="s">
        <v>1</v>
      </c>
      <c r="E432" s="59" t="s">
        <v>1</v>
      </c>
      <c r="F432" s="59" t="s">
        <v>1</v>
      </c>
      <c r="G432" s="34"/>
      <c r="H432" s="34"/>
      <c r="I432" s="34"/>
      <c r="J432" s="34"/>
      <c r="K432" s="34"/>
      <c r="L432" s="34"/>
      <c r="M432" s="34"/>
    </row>
    <row r="433" spans="1:13" ht="16.5" customHeight="1" x14ac:dyDescent="0.15">
      <c r="A433" s="72" t="s">
        <v>161</v>
      </c>
      <c r="B433" s="62" t="s">
        <v>178</v>
      </c>
      <c r="C433" s="62" t="s">
        <v>177</v>
      </c>
      <c r="D433" s="62" t="s">
        <v>178</v>
      </c>
      <c r="E433" s="62" t="s">
        <v>177</v>
      </c>
      <c r="F433" s="62" t="s">
        <v>197</v>
      </c>
      <c r="G433" s="34"/>
      <c r="H433" s="34"/>
      <c r="I433" s="34"/>
      <c r="J433" s="34"/>
      <c r="K433" s="34"/>
      <c r="L433" s="34"/>
      <c r="M433" s="34"/>
    </row>
    <row r="434" spans="1:13" ht="16.5" customHeight="1" x14ac:dyDescent="0.15">
      <c r="A434" s="75">
        <v>8</v>
      </c>
      <c r="B434" s="59" t="s">
        <v>1</v>
      </c>
      <c r="C434" s="59" t="s">
        <v>1</v>
      </c>
      <c r="D434" s="59" t="s">
        <v>1</v>
      </c>
      <c r="E434" s="59" t="s">
        <v>1</v>
      </c>
      <c r="F434" s="59" t="s">
        <v>1</v>
      </c>
      <c r="G434" s="34"/>
      <c r="H434" s="34"/>
      <c r="I434" s="34"/>
      <c r="J434" s="34"/>
      <c r="K434" s="34"/>
      <c r="L434" s="34"/>
      <c r="M434" s="34"/>
    </row>
    <row r="435" spans="1:13" ht="16.5" customHeight="1" x14ac:dyDescent="0.15">
      <c r="A435" s="72" t="s">
        <v>168</v>
      </c>
      <c r="B435" s="62" t="s">
        <v>178</v>
      </c>
      <c r="C435" s="62" t="s">
        <v>177</v>
      </c>
      <c r="D435" s="62" t="s">
        <v>178</v>
      </c>
      <c r="E435" s="62" t="s">
        <v>177</v>
      </c>
      <c r="F435" s="62" t="s">
        <v>197</v>
      </c>
      <c r="G435" s="34"/>
      <c r="H435" s="34"/>
      <c r="I435" s="34"/>
      <c r="J435" s="34"/>
      <c r="K435" s="34"/>
      <c r="L435" s="34"/>
      <c r="M435" s="34"/>
    </row>
    <row r="436" spans="1:13" ht="16.5" customHeight="1" x14ac:dyDescent="0.15">
      <c r="A436" s="54" t="s">
        <v>137</v>
      </c>
      <c r="B436" s="54" t="s">
        <v>189</v>
      </c>
      <c r="C436" s="54" t="s">
        <v>182</v>
      </c>
      <c r="D436" s="54" t="s">
        <v>192</v>
      </c>
      <c r="E436" s="54" t="s">
        <v>190</v>
      </c>
      <c r="F436" s="54" t="s">
        <v>180</v>
      </c>
      <c r="G436" s="34"/>
      <c r="H436" s="34"/>
      <c r="I436" s="34"/>
      <c r="J436" s="34"/>
      <c r="K436" s="34"/>
      <c r="L436" s="34"/>
      <c r="M436" s="34"/>
    </row>
    <row r="437" spans="1:13" ht="16.5" customHeight="1" x14ac:dyDescent="0.15">
      <c r="A437" s="55" t="s">
        <v>191</v>
      </c>
      <c r="B437" s="56" t="s">
        <v>109</v>
      </c>
      <c r="C437" s="56" t="s">
        <v>124</v>
      </c>
      <c r="D437" s="56" t="s">
        <v>107</v>
      </c>
      <c r="E437" s="56" t="s">
        <v>110</v>
      </c>
      <c r="F437" s="56" t="s">
        <v>114</v>
      </c>
      <c r="G437" s="34"/>
      <c r="H437" s="50"/>
      <c r="I437" s="34"/>
      <c r="J437" s="34"/>
      <c r="K437" s="34"/>
      <c r="L437" s="34"/>
      <c r="M437" s="34"/>
    </row>
    <row r="438" spans="1:13" ht="16.5" customHeight="1" x14ac:dyDescent="0.15">
      <c r="A438" s="75">
        <v>1</v>
      </c>
      <c r="B438" s="59" t="s">
        <v>1</v>
      </c>
      <c r="C438" s="59" t="s">
        <v>1</v>
      </c>
      <c r="D438" s="59" t="s">
        <v>1</v>
      </c>
      <c r="E438" s="59" t="s">
        <v>1</v>
      </c>
      <c r="F438" s="59" t="s">
        <v>1</v>
      </c>
      <c r="G438" s="34"/>
      <c r="H438" s="34"/>
      <c r="I438" s="34"/>
      <c r="J438" s="34"/>
      <c r="K438" s="34"/>
      <c r="L438" s="34"/>
      <c r="M438" s="34"/>
    </row>
    <row r="439" spans="1:13" ht="16.5" customHeight="1" x14ac:dyDescent="0.15">
      <c r="A439" s="72" t="s">
        <v>164</v>
      </c>
      <c r="B439" s="62" t="s">
        <v>197</v>
      </c>
      <c r="C439" s="62" t="s">
        <v>188</v>
      </c>
      <c r="D439" s="62" t="s">
        <v>197</v>
      </c>
      <c r="E439" s="62" t="s">
        <v>188</v>
      </c>
      <c r="F439" s="62" t="s">
        <v>178</v>
      </c>
      <c r="G439" s="34"/>
      <c r="H439" s="34"/>
      <c r="I439" s="34"/>
      <c r="J439" s="34"/>
      <c r="K439" s="34"/>
      <c r="L439" s="34"/>
      <c r="M439" s="34"/>
    </row>
    <row r="440" spans="1:13" ht="16.5" customHeight="1" x14ac:dyDescent="0.15">
      <c r="A440" s="75">
        <v>2</v>
      </c>
      <c r="B440" s="59" t="s">
        <v>1</v>
      </c>
      <c r="C440" s="59" t="s">
        <v>1</v>
      </c>
      <c r="D440" s="59" t="s">
        <v>1</v>
      </c>
      <c r="E440" s="59" t="s">
        <v>1</v>
      </c>
      <c r="F440" s="59" t="s">
        <v>1</v>
      </c>
      <c r="G440" s="34"/>
      <c r="H440" s="34"/>
      <c r="I440" s="34"/>
      <c r="J440" s="34"/>
      <c r="K440" s="34"/>
      <c r="L440" s="34"/>
      <c r="M440" s="34"/>
    </row>
    <row r="441" spans="1:13" ht="16.5" customHeight="1" x14ac:dyDescent="0.15">
      <c r="A441" s="72" t="s">
        <v>166</v>
      </c>
      <c r="B441" s="62" t="s">
        <v>197</v>
      </c>
      <c r="C441" s="62" t="s">
        <v>188</v>
      </c>
      <c r="D441" s="62" t="s">
        <v>197</v>
      </c>
      <c r="E441" s="62" t="s">
        <v>188</v>
      </c>
      <c r="F441" s="62" t="s">
        <v>178</v>
      </c>
      <c r="G441" s="34"/>
      <c r="H441" s="34"/>
      <c r="I441" s="34"/>
      <c r="J441" s="34"/>
      <c r="K441" s="34"/>
      <c r="L441" s="34"/>
      <c r="M441" s="34"/>
    </row>
    <row r="442" spans="1:13" ht="16.5" customHeight="1" x14ac:dyDescent="0.15">
      <c r="A442" s="75">
        <v>3</v>
      </c>
      <c r="B442" s="59" t="s">
        <v>1</v>
      </c>
      <c r="C442" s="59" t="s">
        <v>1</v>
      </c>
      <c r="D442" s="59" t="s">
        <v>1</v>
      </c>
      <c r="E442" s="59" t="s">
        <v>1</v>
      </c>
      <c r="F442" s="59" t="s">
        <v>1</v>
      </c>
      <c r="G442" s="34"/>
      <c r="H442" s="34"/>
      <c r="I442" s="34"/>
      <c r="J442" s="34"/>
      <c r="K442" s="34"/>
      <c r="L442" s="34"/>
      <c r="M442" s="34"/>
    </row>
    <row r="443" spans="1:13" ht="16.5" customHeight="1" x14ac:dyDescent="0.15">
      <c r="A443" s="72" t="s">
        <v>167</v>
      </c>
      <c r="B443" s="62" t="s">
        <v>197</v>
      </c>
      <c r="C443" s="62" t="s">
        <v>188</v>
      </c>
      <c r="D443" s="62" t="s">
        <v>197</v>
      </c>
      <c r="E443" s="62" t="s">
        <v>188</v>
      </c>
      <c r="F443" s="62" t="s">
        <v>178</v>
      </c>
      <c r="G443" s="34"/>
      <c r="H443" s="34"/>
      <c r="I443" s="34"/>
      <c r="J443" s="34"/>
      <c r="K443" s="34"/>
      <c r="L443" s="34"/>
      <c r="M443" s="34"/>
    </row>
    <row r="444" spans="1:13" ht="16.5" customHeight="1" x14ac:dyDescent="0.15">
      <c r="A444" s="75">
        <v>4</v>
      </c>
      <c r="B444" s="59" t="s">
        <v>1</v>
      </c>
      <c r="C444" s="59" t="s">
        <v>1</v>
      </c>
      <c r="D444" s="59" t="s">
        <v>1</v>
      </c>
      <c r="E444" s="59" t="s">
        <v>1</v>
      </c>
      <c r="F444" s="59" t="s">
        <v>1</v>
      </c>
      <c r="G444" s="34"/>
      <c r="H444" s="34"/>
      <c r="I444" s="34"/>
      <c r="J444" s="34"/>
      <c r="K444" s="34"/>
      <c r="L444" s="34"/>
      <c r="M444" s="34"/>
    </row>
    <row r="445" spans="1:13" ht="16.5" customHeight="1" x14ac:dyDescent="0.15">
      <c r="A445" s="72" t="s">
        <v>163</v>
      </c>
      <c r="B445" s="62" t="s">
        <v>197</v>
      </c>
      <c r="C445" s="62" t="s">
        <v>188</v>
      </c>
      <c r="D445" s="62" t="s">
        <v>197</v>
      </c>
      <c r="E445" s="62" t="s">
        <v>188</v>
      </c>
      <c r="F445" s="62" t="s">
        <v>178</v>
      </c>
      <c r="G445" s="34"/>
      <c r="H445" s="34"/>
      <c r="I445" s="34"/>
      <c r="J445" s="34"/>
      <c r="K445" s="34"/>
      <c r="L445" s="34"/>
      <c r="M445" s="34"/>
    </row>
    <row r="446" spans="1:13" ht="16.5" customHeight="1" x14ac:dyDescent="0.15">
      <c r="A446" s="75">
        <v>5</v>
      </c>
      <c r="B446" s="59" t="s">
        <v>1</v>
      </c>
      <c r="C446" s="59" t="s">
        <v>1</v>
      </c>
      <c r="D446" s="59" t="s">
        <v>1</v>
      </c>
      <c r="E446" s="59" t="s">
        <v>1</v>
      </c>
      <c r="F446" s="61" t="s">
        <v>185</v>
      </c>
      <c r="G446" s="34"/>
      <c r="H446" s="34"/>
      <c r="I446" s="34"/>
      <c r="J446" s="34"/>
      <c r="K446" s="34"/>
      <c r="L446" s="34"/>
      <c r="M446" s="34"/>
    </row>
    <row r="447" spans="1:13" ht="16.5" customHeight="1" x14ac:dyDescent="0.15">
      <c r="A447" s="72" t="s">
        <v>165</v>
      </c>
      <c r="B447" s="62" t="s">
        <v>178</v>
      </c>
      <c r="C447" s="62" t="s">
        <v>177</v>
      </c>
      <c r="D447" s="62" t="s">
        <v>178</v>
      </c>
      <c r="E447" s="62" t="s">
        <v>177</v>
      </c>
      <c r="F447" s="62" t="s">
        <v>178</v>
      </c>
      <c r="G447" s="34"/>
      <c r="H447" s="34"/>
      <c r="I447" s="34"/>
      <c r="J447" s="34"/>
      <c r="K447" s="34"/>
      <c r="L447" s="34"/>
      <c r="M447" s="34"/>
    </row>
    <row r="448" spans="1:13" ht="16.5" customHeight="1" x14ac:dyDescent="0.15">
      <c r="A448" s="75">
        <v>6</v>
      </c>
      <c r="B448" s="59" t="s">
        <v>1</v>
      </c>
      <c r="C448" s="59" t="s">
        <v>1</v>
      </c>
      <c r="D448" s="59" t="s">
        <v>1</v>
      </c>
      <c r="E448" s="59" t="s">
        <v>1</v>
      </c>
      <c r="F448" s="61" t="s">
        <v>185</v>
      </c>
      <c r="G448" s="34"/>
      <c r="H448" s="34"/>
      <c r="I448" s="34"/>
      <c r="J448" s="34"/>
      <c r="K448" s="34"/>
      <c r="L448" s="34"/>
      <c r="M448" s="34"/>
    </row>
    <row r="449" spans="1:13" ht="16.5" customHeight="1" x14ac:dyDescent="0.15">
      <c r="A449" s="72" t="s">
        <v>160</v>
      </c>
      <c r="B449" s="62" t="s">
        <v>178</v>
      </c>
      <c r="C449" s="62" t="s">
        <v>177</v>
      </c>
      <c r="D449" s="62" t="s">
        <v>178</v>
      </c>
      <c r="E449" s="62" t="s">
        <v>177</v>
      </c>
      <c r="F449" s="62" t="s">
        <v>178</v>
      </c>
      <c r="G449" s="34"/>
      <c r="H449" s="34"/>
      <c r="I449" s="34"/>
      <c r="J449" s="34"/>
      <c r="K449" s="34"/>
      <c r="L449" s="34"/>
      <c r="M449" s="34"/>
    </row>
    <row r="450" spans="1:13" ht="16.5" customHeight="1" x14ac:dyDescent="0.15">
      <c r="A450" s="75">
        <v>7</v>
      </c>
      <c r="B450" s="59" t="s">
        <v>1</v>
      </c>
      <c r="C450" s="59" t="s">
        <v>1</v>
      </c>
      <c r="D450" s="59" t="s">
        <v>1</v>
      </c>
      <c r="E450" s="59" t="s">
        <v>1</v>
      </c>
      <c r="F450" s="59"/>
      <c r="G450" s="34"/>
      <c r="H450" s="34"/>
      <c r="I450" s="34"/>
      <c r="J450" s="34"/>
      <c r="K450" s="34"/>
      <c r="L450" s="34"/>
      <c r="M450" s="34"/>
    </row>
    <row r="451" spans="1:13" ht="16.5" customHeight="1" x14ac:dyDescent="0.15">
      <c r="A451" s="72" t="s">
        <v>161</v>
      </c>
      <c r="B451" s="62" t="s">
        <v>178</v>
      </c>
      <c r="C451" s="62" t="s">
        <v>177</v>
      </c>
      <c r="D451" s="62" t="s">
        <v>178</v>
      </c>
      <c r="E451" s="62" t="s">
        <v>177</v>
      </c>
      <c r="F451" s="58"/>
      <c r="G451" s="34"/>
      <c r="H451" s="34"/>
      <c r="I451" s="34"/>
      <c r="J451" s="34"/>
      <c r="K451" s="34"/>
      <c r="L451" s="34"/>
      <c r="M451" s="34"/>
    </row>
    <row r="452" spans="1:13" ht="16.5" customHeight="1" x14ac:dyDescent="0.15">
      <c r="A452" s="75">
        <v>8</v>
      </c>
      <c r="B452" s="59" t="s">
        <v>1</v>
      </c>
      <c r="C452" s="59" t="s">
        <v>1</v>
      </c>
      <c r="D452" s="59" t="s">
        <v>1</v>
      </c>
      <c r="E452" s="59" t="s">
        <v>1</v>
      </c>
      <c r="F452" s="59"/>
      <c r="G452" s="34"/>
      <c r="H452" s="34"/>
      <c r="I452" s="34"/>
      <c r="J452" s="34"/>
      <c r="K452" s="34"/>
      <c r="L452" s="34"/>
      <c r="M452" s="34"/>
    </row>
    <row r="453" spans="1:13" ht="16.5" customHeight="1" x14ac:dyDescent="0.15">
      <c r="A453" s="72" t="s">
        <v>168</v>
      </c>
      <c r="B453" s="62" t="s">
        <v>178</v>
      </c>
      <c r="C453" s="62" t="s">
        <v>177</v>
      </c>
      <c r="D453" s="62" t="s">
        <v>178</v>
      </c>
      <c r="E453" s="62" t="s">
        <v>177</v>
      </c>
      <c r="F453" s="58"/>
      <c r="G453" s="34"/>
      <c r="H453" s="34"/>
      <c r="I453" s="34"/>
      <c r="J453" s="34"/>
      <c r="K453" s="34"/>
      <c r="L453" s="34"/>
      <c r="M453" s="34"/>
    </row>
    <row r="454" spans="1:13" ht="13.35" customHeight="1" x14ac:dyDescent="0.15">
      <c r="A454" s="32"/>
      <c r="B454" s="32"/>
      <c r="C454" s="32"/>
      <c r="D454" s="32"/>
      <c r="E454" s="32"/>
      <c r="F454" s="32"/>
      <c r="G454" s="33"/>
      <c r="H454" s="33"/>
      <c r="I454" s="33"/>
      <c r="J454" s="33"/>
      <c r="K454" s="33"/>
      <c r="L454" s="33"/>
      <c r="M454" s="33"/>
    </row>
    <row r="455" spans="1:13" ht="13.35" customHeight="1" x14ac:dyDescent="0.15">
      <c r="A455" s="32"/>
      <c r="B455" s="32"/>
      <c r="C455" s="32"/>
      <c r="D455" s="32"/>
      <c r="E455" s="32"/>
      <c r="F455" s="32"/>
      <c r="G455" s="33"/>
      <c r="H455" s="33"/>
      <c r="I455" s="33"/>
      <c r="J455" s="33"/>
      <c r="K455" s="33"/>
      <c r="L455" s="33"/>
      <c r="M455" s="33"/>
    </row>
    <row r="456" spans="1:13" ht="13.35" customHeight="1" x14ac:dyDescent="0.15">
      <c r="A456" s="32"/>
      <c r="B456" s="32"/>
      <c r="C456" s="32"/>
      <c r="D456" s="32"/>
      <c r="E456" s="32"/>
      <c r="F456" s="32"/>
      <c r="G456" s="33"/>
      <c r="H456" s="33"/>
      <c r="I456" s="33"/>
      <c r="J456" s="33"/>
      <c r="K456" s="33"/>
      <c r="L456" s="33"/>
      <c r="M456" s="33"/>
    </row>
    <row r="457" spans="1:13" ht="13.35" customHeight="1" x14ac:dyDescent="0.15">
      <c r="A457" s="32"/>
      <c r="B457" s="32"/>
      <c r="C457" s="32"/>
      <c r="D457" s="32"/>
      <c r="E457" s="32"/>
      <c r="F457" s="32"/>
      <c r="G457" s="33"/>
      <c r="H457" s="33"/>
      <c r="I457" s="33"/>
      <c r="J457" s="33"/>
      <c r="K457" s="33"/>
      <c r="L457" s="33"/>
      <c r="M457" s="33"/>
    </row>
    <row r="458" spans="1:13" ht="13.35" customHeight="1" x14ac:dyDescent="0.15">
      <c r="A458" s="32"/>
      <c r="B458" s="32"/>
      <c r="C458" s="32"/>
      <c r="D458" s="32"/>
      <c r="E458" s="32"/>
      <c r="F458" s="32"/>
      <c r="G458" s="33"/>
      <c r="H458" s="33"/>
      <c r="I458" s="33"/>
      <c r="J458" s="33"/>
      <c r="K458" s="33"/>
      <c r="L458" s="33"/>
      <c r="M458" s="33"/>
    </row>
    <row r="459" spans="1:13" ht="13.35" customHeight="1" x14ac:dyDescent="0.15">
      <c r="A459" s="32"/>
      <c r="B459" s="32"/>
      <c r="C459" s="32"/>
      <c r="D459" s="32"/>
      <c r="E459" s="32"/>
      <c r="F459" s="32"/>
      <c r="G459" s="33"/>
      <c r="H459" s="33"/>
      <c r="I459" s="33"/>
      <c r="J459" s="33"/>
      <c r="K459" s="33"/>
      <c r="L459" s="33"/>
      <c r="M459" s="33"/>
    </row>
    <row r="460" spans="1:13" ht="13.35" customHeight="1" x14ac:dyDescent="0.15">
      <c r="A460" s="32"/>
      <c r="B460" s="32"/>
      <c r="C460" s="32"/>
      <c r="D460" s="32"/>
      <c r="E460" s="32"/>
      <c r="F460" s="32"/>
      <c r="G460" s="33"/>
      <c r="H460" s="33"/>
      <c r="I460" s="33"/>
      <c r="J460" s="33"/>
      <c r="K460" s="33"/>
      <c r="L460" s="33"/>
      <c r="M460" s="33"/>
    </row>
  </sheetData>
  <mergeCells count="64">
    <mergeCell ref="I68:J68"/>
    <mergeCell ref="I69:J69"/>
    <mergeCell ref="I82:J82"/>
    <mergeCell ref="I83:J83"/>
    <mergeCell ref="I84:J84"/>
    <mergeCell ref="I77:J77"/>
    <mergeCell ref="I78:J78"/>
    <mergeCell ref="I79:J79"/>
    <mergeCell ref="I80:J80"/>
    <mergeCell ref="I81:J81"/>
    <mergeCell ref="I52:J52"/>
    <mergeCell ref="I53:J53"/>
    <mergeCell ref="I76:J76"/>
    <mergeCell ref="I70:J70"/>
    <mergeCell ref="I61:J61"/>
    <mergeCell ref="I62:J62"/>
    <mergeCell ref="I63:J63"/>
    <mergeCell ref="I64:J64"/>
    <mergeCell ref="I65:J65"/>
    <mergeCell ref="I66:J66"/>
    <mergeCell ref="I71:J71"/>
    <mergeCell ref="I72:J72"/>
    <mergeCell ref="I73:J73"/>
    <mergeCell ref="I74:J74"/>
    <mergeCell ref="I75:J75"/>
    <mergeCell ref="I67:J67"/>
    <mergeCell ref="I17:J17"/>
    <mergeCell ref="I18:J18"/>
    <mergeCell ref="I59:J59"/>
    <mergeCell ref="I60:J60"/>
    <mergeCell ref="I20:J20"/>
    <mergeCell ref="I21:J21"/>
    <mergeCell ref="I22:J22"/>
    <mergeCell ref="I23:J23"/>
    <mergeCell ref="I54:J54"/>
    <mergeCell ref="I55:J55"/>
    <mergeCell ref="I56:J56"/>
    <mergeCell ref="I57:J57"/>
    <mergeCell ref="I58:J58"/>
    <mergeCell ref="I49:J49"/>
    <mergeCell ref="I50:J50"/>
    <mergeCell ref="I51:J51"/>
    <mergeCell ref="I19:J19"/>
    <mergeCell ref="I13:J13"/>
    <mergeCell ref="A1:F1"/>
    <mergeCell ref="A2:F2"/>
    <mergeCell ref="A3:F3"/>
    <mergeCell ref="I5:J5"/>
    <mergeCell ref="I6:J6"/>
    <mergeCell ref="I7:J7"/>
    <mergeCell ref="I8:J8"/>
    <mergeCell ref="I9:J9"/>
    <mergeCell ref="I10:J10"/>
    <mergeCell ref="I11:J11"/>
    <mergeCell ref="I12:J12"/>
    <mergeCell ref="I14:J14"/>
    <mergeCell ref="I15:J15"/>
    <mergeCell ref="I16:J16"/>
    <mergeCell ref="C348:C363"/>
    <mergeCell ref="F78:F93"/>
    <mergeCell ref="B114:B129"/>
    <mergeCell ref="B150:B165"/>
    <mergeCell ref="C168:C183"/>
    <mergeCell ref="B78:B93"/>
  </mergeCells>
  <phoneticPr fontId="12" type="noConversion"/>
  <conditionalFormatting sqref="A1:F3">
    <cfRule type="containsText" dxfId="8047" priority="10297" operator="containsText" text="$H$7">
      <formula>NOT(ISERROR(SEARCH($H$7,A1)))</formula>
      <formula>$H$7</formula>
    </cfRule>
    <cfRule type="containsText" dxfId="8046" priority="10296" operator="containsText" text="$H$8">
      <formula>NOT(ISERROR(SEARCH($H$8,A1)))</formula>
      <formula>$H$8</formula>
    </cfRule>
    <cfRule type="containsText" dxfId="8045" priority="10295" operator="containsText" text="$H$8">
      <formula>NOT(ISERROR(SEARCH($H$8,A1)))</formula>
      <formula>$H$8</formula>
    </cfRule>
    <cfRule type="containsText" dxfId="8044" priority="10294" operator="containsText" text="$H$9">
      <formula>NOT(ISERROR(SEARCH($H$9,A1)))</formula>
      <formula>$H$9</formula>
    </cfRule>
    <cfRule type="containsText" dxfId="8043" priority="10293" operator="containsText" text="$H$10">
      <formula>NOT(ISERROR(SEARCH($H$10,A1)))</formula>
      <formula>$H$10</formula>
    </cfRule>
    <cfRule type="containsText" dxfId="8042" priority="10292" operator="containsText" text="$H$11">
      <formula>NOT(ISERROR(SEARCH($H$11,A1)))</formula>
      <formula>$H$11</formula>
    </cfRule>
    <cfRule type="containsText" dxfId="8041" priority="10291" operator="containsText" text="$H$12">
      <formula>NOT(ISERROR(SEARCH($H$12,A1)))</formula>
      <formula>$H$12</formula>
    </cfRule>
    <cfRule type="containsText" dxfId="8040" priority="10290" operator="containsText" text="$H$13">
      <formula>NOT(ISERROR(SEARCH($H$13,A1)))</formula>
      <formula>$H$13</formula>
    </cfRule>
  </conditionalFormatting>
  <conditionalFormatting sqref="A4:F4 A5 A23 A130:F130 A148:F148 A166:F166 A184:F184 A202:F202 A220:F220 A238:F239 A257:F257 A274:F275 A292:F293 A311:F311 A328:F329 A346:F347 A364:F365 A382:F383 A400:F401 A418:F419 A112:F112 A436:F437 A94:F94 F447 B24:F31 A40:F40 A58:F58 A76:F76 D50:F57 A59 B68:D75 C42:C49 A6:F22 C60:C67 E60:E67 A256:D256 F256 A310:B310 D310:F310 F449:F453 A41:A57 A77:A93 A95:A111 A113:A129 A131:A147 A149:A165 A167:A183 A185:A201 A203:A219 A221:A237 A240:A255 A258:A273 A276:A291 A294:A309 A312:A327 A330:A345 A348:A363 A366:A381 A384:A399 A402:A417 A420:A435 A438:A453">
    <cfRule type="containsText" dxfId="8039" priority="10288" operator="containsText" text="$H$7">
      <formula>NOT(ISERROR(SEARCH($H$7,A4)))</formula>
      <formula>$H$7</formula>
    </cfRule>
    <cfRule type="containsText" dxfId="8038" priority="10287" operator="containsText" text="$H$8">
      <formula>NOT(ISERROR(SEARCH($H$8,A4)))</formula>
      <formula>$H$8</formula>
    </cfRule>
    <cfRule type="containsText" dxfId="8037" priority="10286" operator="containsText" text="$H$8">
      <formula>NOT(ISERROR(SEARCH($H$8,A4)))</formula>
      <formula>$H$8</formula>
    </cfRule>
    <cfRule type="containsText" dxfId="8036" priority="10285" operator="containsText" text="$H$9">
      <formula>NOT(ISERROR(SEARCH($H$9,A4)))</formula>
      <formula>$H$9</formula>
    </cfRule>
    <cfRule type="containsText" dxfId="8035" priority="10284" operator="containsText" text="$H$10">
      <formula>NOT(ISERROR(SEARCH($H$10,A4)))</formula>
      <formula>$H$10</formula>
    </cfRule>
    <cfRule type="containsText" dxfId="8034" priority="10283" operator="containsText" text="$H$11">
      <formula>NOT(ISERROR(SEARCH($H$11,A4)))</formula>
      <formula>$H$11</formula>
    </cfRule>
    <cfRule type="containsText" dxfId="8033" priority="10282" operator="containsText" text="$H$12">
      <formula>NOT(ISERROR(SEARCH($H$12,A4)))</formula>
      <formula>$H$12</formula>
    </cfRule>
    <cfRule type="containsText" dxfId="8032" priority="10281" operator="containsText" text="$H$13">
      <formula>NOT(ISERROR(SEARCH($H$13,A4)))</formula>
      <formula>$H$13</formula>
    </cfRule>
  </conditionalFormatting>
  <conditionalFormatting sqref="B5:F5">
    <cfRule type="containsText" dxfId="8031" priority="10280" operator="containsText" text="$H$7">
      <formula>NOT(ISERROR(SEARCH($H$7,B5)))</formula>
      <formula>$H$7</formula>
    </cfRule>
    <cfRule type="containsText" dxfId="8030" priority="10279" operator="containsText" text="$H$8">
      <formula>NOT(ISERROR(SEARCH($H$8,B5)))</formula>
      <formula>$H$8</formula>
    </cfRule>
    <cfRule type="containsText" dxfId="8029" priority="10278" operator="containsText" text="$H$8">
      <formula>NOT(ISERROR(SEARCH($H$8,B5)))</formula>
      <formula>$H$8</formula>
    </cfRule>
    <cfRule type="containsText" dxfId="8028" priority="10277" operator="containsText" text="$H$9">
      <formula>NOT(ISERROR(SEARCH($H$9,B5)))</formula>
      <formula>$H$9</formula>
    </cfRule>
    <cfRule type="containsText" dxfId="8027" priority="10276" operator="containsText" text="$H$10">
      <formula>NOT(ISERROR(SEARCH($H$10,B5)))</formula>
      <formula>$H$10</formula>
    </cfRule>
    <cfRule type="containsText" dxfId="8026" priority="10275" operator="containsText" text="$H$11">
      <formula>NOT(ISERROR(SEARCH($H$11,B5)))</formula>
      <formula>$H$11</formula>
    </cfRule>
    <cfRule type="containsText" dxfId="8025" priority="10274" operator="containsText" text="$H$12">
      <formula>NOT(ISERROR(SEARCH($H$12,B5)))</formula>
      <formula>$H$12</formula>
    </cfRule>
    <cfRule type="containsText" dxfId="8024" priority="10273" operator="containsText" text="$H$13">
      <formula>NOT(ISERROR(SEARCH($H$13,B5)))</formula>
      <formula>$H$13</formula>
    </cfRule>
  </conditionalFormatting>
  <conditionalFormatting sqref="B23:F23">
    <cfRule type="containsText" dxfId="8023" priority="10272" operator="containsText" text="$H$7">
      <formula>NOT(ISERROR(SEARCH($H$7,B23)))</formula>
      <formula>$H$7</formula>
    </cfRule>
    <cfRule type="containsText" dxfId="8022" priority="10271" operator="containsText" text="$H$8">
      <formula>NOT(ISERROR(SEARCH($H$8,B23)))</formula>
      <formula>$H$8</formula>
    </cfRule>
    <cfRule type="containsText" dxfId="8021" priority="10270" operator="containsText" text="$H$8">
      <formula>NOT(ISERROR(SEARCH($H$8,B23)))</formula>
      <formula>$H$8</formula>
    </cfRule>
    <cfRule type="containsText" dxfId="8020" priority="10269" operator="containsText" text="$H$9">
      <formula>NOT(ISERROR(SEARCH($H$9,B23)))</formula>
      <formula>$H$9</formula>
    </cfRule>
    <cfRule type="containsText" dxfId="8019" priority="10268" operator="containsText" text="$H$10">
      <formula>NOT(ISERROR(SEARCH($H$10,B23)))</formula>
      <formula>$H$10</formula>
    </cfRule>
    <cfRule type="containsText" dxfId="8018" priority="10267" operator="containsText" text="$H$11">
      <formula>NOT(ISERROR(SEARCH($H$11,B23)))</formula>
      <formula>$H$11</formula>
    </cfRule>
    <cfRule type="containsText" dxfId="8017" priority="10266" operator="containsText" text="$H$12">
      <formula>NOT(ISERROR(SEARCH($H$12,B23)))</formula>
      <formula>$H$12</formula>
    </cfRule>
    <cfRule type="containsText" dxfId="8016" priority="10265" operator="containsText" text="$H$13">
      <formula>NOT(ISERROR(SEARCH($H$13,B23)))</formula>
      <formula>$H$13</formula>
    </cfRule>
  </conditionalFormatting>
  <conditionalFormatting sqref="B41:F41">
    <cfRule type="containsText" dxfId="8015" priority="10264" operator="containsText" text="$H$7">
      <formula>NOT(ISERROR(SEARCH($H$7,B41)))</formula>
      <formula>$H$7</formula>
    </cfRule>
    <cfRule type="containsText" dxfId="8014" priority="10263" operator="containsText" text="$H$8">
      <formula>NOT(ISERROR(SEARCH($H$8,B41)))</formula>
      <formula>$H$8</formula>
    </cfRule>
    <cfRule type="containsText" dxfId="8013" priority="10262" operator="containsText" text="$H$8">
      <formula>NOT(ISERROR(SEARCH($H$8,B41)))</formula>
      <formula>$H$8</formula>
    </cfRule>
    <cfRule type="containsText" dxfId="8012" priority="10261" operator="containsText" text="$H$9">
      <formula>NOT(ISERROR(SEARCH($H$9,B41)))</formula>
      <formula>$H$9</formula>
    </cfRule>
    <cfRule type="containsText" dxfId="8011" priority="10260" operator="containsText" text="$H$10">
      <formula>NOT(ISERROR(SEARCH($H$10,B41)))</formula>
      <formula>$H$10</formula>
    </cfRule>
    <cfRule type="containsText" dxfId="8010" priority="10259" operator="containsText" text="$H$11">
      <formula>NOT(ISERROR(SEARCH($H$11,B41)))</formula>
      <formula>$H$11</formula>
    </cfRule>
    <cfRule type="containsText" dxfId="8009" priority="10258" operator="containsText" text="$H$12">
      <formula>NOT(ISERROR(SEARCH($H$12,B41)))</formula>
      <formula>$H$12</formula>
    </cfRule>
    <cfRule type="containsText" dxfId="8008" priority="10257" operator="containsText" text="$H$13">
      <formula>NOT(ISERROR(SEARCH($H$13,B41)))</formula>
      <formula>$H$13</formula>
    </cfRule>
  </conditionalFormatting>
  <conditionalFormatting sqref="B59:F59">
    <cfRule type="containsText" dxfId="8007" priority="10256" operator="containsText" text="$H$7">
      <formula>NOT(ISERROR(SEARCH($H$7,B59)))</formula>
      <formula>$H$7</formula>
    </cfRule>
    <cfRule type="containsText" dxfId="8006" priority="10255" operator="containsText" text="$H$8">
      <formula>NOT(ISERROR(SEARCH($H$8,B59)))</formula>
      <formula>$H$8</formula>
    </cfRule>
    <cfRule type="containsText" dxfId="8005" priority="10254" operator="containsText" text="$H$8">
      <formula>NOT(ISERROR(SEARCH($H$8,B59)))</formula>
      <formula>$H$8</formula>
    </cfRule>
    <cfRule type="containsText" dxfId="8004" priority="10253" operator="containsText" text="$H$9">
      <formula>NOT(ISERROR(SEARCH($H$9,B59)))</formula>
      <formula>$H$9</formula>
    </cfRule>
    <cfRule type="containsText" dxfId="8003" priority="10252" operator="containsText" text="$H$10">
      <formula>NOT(ISERROR(SEARCH($H$10,B59)))</formula>
      <formula>$H$10</formula>
    </cfRule>
    <cfRule type="containsText" dxfId="8002" priority="10251" operator="containsText" text="$H$11">
      <formula>NOT(ISERROR(SEARCH($H$11,B59)))</formula>
      <formula>$H$11</formula>
    </cfRule>
    <cfRule type="containsText" dxfId="8001" priority="10250" operator="containsText" text="$H$12">
      <formula>NOT(ISERROR(SEARCH($H$12,B59)))</formula>
      <formula>$H$12</formula>
    </cfRule>
    <cfRule type="containsText" dxfId="8000" priority="10249" operator="containsText" text="$H$13">
      <formula>NOT(ISERROR(SEARCH($H$13,B59)))</formula>
      <formula>$H$13</formula>
    </cfRule>
  </conditionalFormatting>
  <conditionalFormatting sqref="B77:F77">
    <cfRule type="containsText" dxfId="7999" priority="10248" operator="containsText" text="$H$7">
      <formula>NOT(ISERROR(SEARCH($H$7,B77)))</formula>
      <formula>$H$7</formula>
    </cfRule>
    <cfRule type="containsText" dxfId="7998" priority="10247" operator="containsText" text="$H$8">
      <formula>NOT(ISERROR(SEARCH($H$8,B77)))</formula>
      <formula>$H$8</formula>
    </cfRule>
    <cfRule type="containsText" dxfId="7997" priority="10246" operator="containsText" text="$H$8">
      <formula>NOT(ISERROR(SEARCH($H$8,B77)))</formula>
      <formula>$H$8</formula>
    </cfRule>
    <cfRule type="containsText" dxfId="7996" priority="10245" operator="containsText" text="$H$9">
      <formula>NOT(ISERROR(SEARCH($H$9,B77)))</formula>
      <formula>$H$9</formula>
    </cfRule>
    <cfRule type="containsText" dxfId="7995" priority="10244" operator="containsText" text="$H$10">
      <formula>NOT(ISERROR(SEARCH($H$10,B77)))</formula>
      <formula>$H$10</formula>
    </cfRule>
    <cfRule type="containsText" dxfId="7994" priority="10243" operator="containsText" text="$H$11">
      <formula>NOT(ISERROR(SEARCH($H$11,B77)))</formula>
      <formula>$H$11</formula>
    </cfRule>
    <cfRule type="containsText" dxfId="7993" priority="10242" operator="containsText" text="$H$12">
      <formula>NOT(ISERROR(SEARCH($H$12,B77)))</formula>
      <formula>$H$12</formula>
    </cfRule>
    <cfRule type="containsText" dxfId="7992" priority="10241" operator="containsText" text="$H$13">
      <formula>NOT(ISERROR(SEARCH($H$13,B77)))</formula>
      <formula>$H$13</formula>
    </cfRule>
  </conditionalFormatting>
  <conditionalFormatting sqref="B95:F95">
    <cfRule type="containsText" dxfId="7991" priority="10240" operator="containsText" text="$H$7">
      <formula>NOT(ISERROR(SEARCH($H$7,B95)))</formula>
      <formula>$H$7</formula>
    </cfRule>
    <cfRule type="containsText" dxfId="7990" priority="10239" operator="containsText" text="$H$8">
      <formula>NOT(ISERROR(SEARCH($H$8,B95)))</formula>
      <formula>$H$8</formula>
    </cfRule>
    <cfRule type="containsText" dxfId="7989" priority="10238" operator="containsText" text="$H$8">
      <formula>NOT(ISERROR(SEARCH($H$8,B95)))</formula>
      <formula>$H$8</formula>
    </cfRule>
    <cfRule type="containsText" dxfId="7988" priority="10237" operator="containsText" text="$H$9">
      <formula>NOT(ISERROR(SEARCH($H$9,B95)))</formula>
      <formula>$H$9</formula>
    </cfRule>
    <cfRule type="containsText" dxfId="7987" priority="10236" operator="containsText" text="$H$10">
      <formula>NOT(ISERROR(SEARCH($H$10,B95)))</formula>
      <formula>$H$10</formula>
    </cfRule>
    <cfRule type="containsText" dxfId="7986" priority="10235" operator="containsText" text="$H$11">
      <formula>NOT(ISERROR(SEARCH($H$11,B95)))</formula>
      <formula>$H$11</formula>
    </cfRule>
    <cfRule type="containsText" dxfId="7985" priority="10234" operator="containsText" text="$H$12">
      <formula>NOT(ISERROR(SEARCH($H$12,B95)))</formula>
      <formula>$H$12</formula>
    </cfRule>
    <cfRule type="containsText" dxfId="7984" priority="10233" operator="containsText" text="$H$13">
      <formula>NOT(ISERROR(SEARCH($H$13,B95)))</formula>
      <formula>$H$13</formula>
    </cfRule>
  </conditionalFormatting>
  <conditionalFormatting sqref="B113:F113">
    <cfRule type="containsText" dxfId="7983" priority="10232" operator="containsText" text="$H$7">
      <formula>NOT(ISERROR(SEARCH($H$7,B113)))</formula>
      <formula>$H$7</formula>
    </cfRule>
    <cfRule type="containsText" dxfId="7982" priority="10231" operator="containsText" text="$H$8">
      <formula>NOT(ISERROR(SEARCH($H$8,B113)))</formula>
      <formula>$H$8</formula>
    </cfRule>
    <cfRule type="containsText" dxfId="7981" priority="10230" operator="containsText" text="$H$8">
      <formula>NOT(ISERROR(SEARCH($H$8,B113)))</formula>
      <formula>$H$8</formula>
    </cfRule>
    <cfRule type="containsText" dxfId="7980" priority="10229" operator="containsText" text="$H$9">
      <formula>NOT(ISERROR(SEARCH($H$9,B113)))</formula>
      <formula>$H$9</formula>
    </cfRule>
    <cfRule type="containsText" dxfId="7979" priority="10228" operator="containsText" text="$H$10">
      <formula>NOT(ISERROR(SEARCH($H$10,B113)))</formula>
      <formula>$H$10</formula>
    </cfRule>
    <cfRule type="containsText" dxfId="7978" priority="10227" operator="containsText" text="$H$11">
      <formula>NOT(ISERROR(SEARCH($H$11,B113)))</formula>
      <formula>$H$11</formula>
    </cfRule>
    <cfRule type="containsText" dxfId="7977" priority="10226" operator="containsText" text="$H$12">
      <formula>NOT(ISERROR(SEARCH($H$12,B113)))</formula>
      <formula>$H$12</formula>
    </cfRule>
    <cfRule type="containsText" dxfId="7976" priority="10225" operator="containsText" text="$H$13">
      <formula>NOT(ISERROR(SEARCH($H$13,B113)))</formula>
      <formula>$H$13</formula>
    </cfRule>
  </conditionalFormatting>
  <conditionalFormatting sqref="B131:F131">
    <cfRule type="containsText" dxfId="7975" priority="10224" operator="containsText" text="$H$7">
      <formula>NOT(ISERROR(SEARCH($H$7,B131)))</formula>
      <formula>$H$7</formula>
    </cfRule>
    <cfRule type="containsText" dxfId="7974" priority="10223" operator="containsText" text="$H$8">
      <formula>NOT(ISERROR(SEARCH($H$8,B131)))</formula>
      <formula>$H$8</formula>
    </cfRule>
    <cfRule type="containsText" dxfId="7973" priority="10222" operator="containsText" text="$H$8">
      <formula>NOT(ISERROR(SEARCH($H$8,B131)))</formula>
      <formula>$H$8</formula>
    </cfRule>
    <cfRule type="containsText" dxfId="7972" priority="10221" operator="containsText" text="$H$9">
      <formula>NOT(ISERROR(SEARCH($H$9,B131)))</formula>
      <formula>$H$9</formula>
    </cfRule>
    <cfRule type="containsText" dxfId="7971" priority="10220" operator="containsText" text="$H$10">
      <formula>NOT(ISERROR(SEARCH($H$10,B131)))</formula>
      <formula>$H$10</formula>
    </cfRule>
    <cfRule type="containsText" dxfId="7970" priority="10219" operator="containsText" text="$H$11">
      <formula>NOT(ISERROR(SEARCH($H$11,B131)))</formula>
      <formula>$H$11</formula>
    </cfRule>
    <cfRule type="containsText" dxfId="7969" priority="10218" operator="containsText" text="$H$12">
      <formula>NOT(ISERROR(SEARCH($H$12,B131)))</formula>
      <formula>$H$12</formula>
    </cfRule>
    <cfRule type="containsText" dxfId="7968" priority="10217" operator="containsText" text="$H$13">
      <formula>NOT(ISERROR(SEARCH($H$13,B131)))</formula>
      <formula>$H$13</formula>
    </cfRule>
  </conditionalFormatting>
  <conditionalFormatting sqref="B149:F149">
    <cfRule type="containsText" dxfId="7967" priority="10216" operator="containsText" text="$H$7">
      <formula>NOT(ISERROR(SEARCH($H$7,B149)))</formula>
      <formula>$H$7</formula>
    </cfRule>
    <cfRule type="containsText" dxfId="7966" priority="10215" operator="containsText" text="$H$8">
      <formula>NOT(ISERROR(SEARCH($H$8,B149)))</formula>
      <formula>$H$8</formula>
    </cfRule>
    <cfRule type="containsText" dxfId="7965" priority="10214" operator="containsText" text="$H$8">
      <formula>NOT(ISERROR(SEARCH($H$8,B149)))</formula>
      <formula>$H$8</formula>
    </cfRule>
    <cfRule type="containsText" dxfId="7964" priority="10213" operator="containsText" text="$H$9">
      <formula>NOT(ISERROR(SEARCH($H$9,B149)))</formula>
      <formula>$H$9</formula>
    </cfRule>
    <cfRule type="containsText" dxfId="7963" priority="10212" operator="containsText" text="$H$10">
      <formula>NOT(ISERROR(SEARCH($H$10,B149)))</formula>
      <formula>$H$10</formula>
    </cfRule>
    <cfRule type="containsText" dxfId="7962" priority="10211" operator="containsText" text="$H$11">
      <formula>NOT(ISERROR(SEARCH($H$11,B149)))</formula>
      <formula>$H$11</formula>
    </cfRule>
    <cfRule type="containsText" dxfId="7961" priority="10210" operator="containsText" text="$H$12">
      <formula>NOT(ISERROR(SEARCH($H$12,B149)))</formula>
      <formula>$H$12</formula>
    </cfRule>
    <cfRule type="containsText" dxfId="7960" priority="10209" operator="containsText" text="$H$13">
      <formula>NOT(ISERROR(SEARCH($H$13,B149)))</formula>
      <formula>$H$13</formula>
    </cfRule>
  </conditionalFormatting>
  <conditionalFormatting sqref="B167:F167">
    <cfRule type="containsText" dxfId="7959" priority="10208" operator="containsText" text="$H$7">
      <formula>NOT(ISERROR(SEARCH($H$7,B167)))</formula>
      <formula>$H$7</formula>
    </cfRule>
    <cfRule type="containsText" dxfId="7958" priority="10207" operator="containsText" text="$H$8">
      <formula>NOT(ISERROR(SEARCH($H$8,B167)))</formula>
      <formula>$H$8</formula>
    </cfRule>
    <cfRule type="containsText" dxfId="7957" priority="10206" operator="containsText" text="$H$8">
      <formula>NOT(ISERROR(SEARCH($H$8,B167)))</formula>
      <formula>$H$8</formula>
    </cfRule>
    <cfRule type="containsText" dxfId="7956" priority="10205" operator="containsText" text="$H$9">
      <formula>NOT(ISERROR(SEARCH($H$9,B167)))</formula>
      <formula>$H$9</formula>
    </cfRule>
    <cfRule type="containsText" dxfId="7955" priority="10204" operator="containsText" text="$H$10">
      <formula>NOT(ISERROR(SEARCH($H$10,B167)))</formula>
      <formula>$H$10</formula>
    </cfRule>
    <cfRule type="containsText" dxfId="7954" priority="10203" operator="containsText" text="$H$11">
      <formula>NOT(ISERROR(SEARCH($H$11,B167)))</formula>
      <formula>$H$11</formula>
    </cfRule>
    <cfRule type="containsText" dxfId="7953" priority="10202" operator="containsText" text="$H$12">
      <formula>NOT(ISERROR(SEARCH($H$12,B167)))</formula>
      <formula>$H$12</formula>
    </cfRule>
    <cfRule type="containsText" dxfId="7952" priority="10201" operator="containsText" text="$H$13">
      <formula>NOT(ISERROR(SEARCH($H$13,B167)))</formula>
      <formula>$H$13</formula>
    </cfRule>
  </conditionalFormatting>
  <conditionalFormatting sqref="B185:F185">
    <cfRule type="containsText" dxfId="7951" priority="10200" operator="containsText" text="$H$7">
      <formula>NOT(ISERROR(SEARCH($H$7,B185)))</formula>
      <formula>$H$7</formula>
    </cfRule>
    <cfRule type="containsText" dxfId="7950" priority="10199" operator="containsText" text="$H$8">
      <formula>NOT(ISERROR(SEARCH($H$8,B185)))</formula>
      <formula>$H$8</formula>
    </cfRule>
    <cfRule type="containsText" dxfId="7949" priority="10198" operator="containsText" text="$H$8">
      <formula>NOT(ISERROR(SEARCH($H$8,B185)))</formula>
      <formula>$H$8</formula>
    </cfRule>
    <cfRule type="containsText" dxfId="7948" priority="10197" operator="containsText" text="$H$9">
      <formula>NOT(ISERROR(SEARCH($H$9,B185)))</formula>
      <formula>$H$9</formula>
    </cfRule>
    <cfRule type="containsText" dxfId="7947" priority="10196" operator="containsText" text="$H$10">
      <formula>NOT(ISERROR(SEARCH($H$10,B185)))</formula>
      <formula>$H$10</formula>
    </cfRule>
    <cfRule type="containsText" dxfId="7946" priority="10195" operator="containsText" text="$H$11">
      <formula>NOT(ISERROR(SEARCH($H$11,B185)))</formula>
      <formula>$H$11</formula>
    </cfRule>
    <cfRule type="containsText" dxfId="7945" priority="10194" operator="containsText" text="$H$12">
      <formula>NOT(ISERROR(SEARCH($H$12,B185)))</formula>
      <formula>$H$12</formula>
    </cfRule>
    <cfRule type="containsText" dxfId="7944" priority="10193" operator="containsText" text="$H$13">
      <formula>NOT(ISERROR(SEARCH($H$13,B185)))</formula>
      <formula>$H$13</formula>
    </cfRule>
  </conditionalFormatting>
  <conditionalFormatting sqref="B203:F203">
    <cfRule type="containsText" dxfId="7943" priority="10192" operator="containsText" text="$H$7">
      <formula>NOT(ISERROR(SEARCH($H$7,B203)))</formula>
      <formula>$H$7</formula>
    </cfRule>
    <cfRule type="containsText" dxfId="7942" priority="10191" operator="containsText" text="$H$8">
      <formula>NOT(ISERROR(SEARCH($H$8,B203)))</formula>
      <formula>$H$8</formula>
    </cfRule>
    <cfRule type="containsText" dxfId="7941" priority="10190" operator="containsText" text="$H$8">
      <formula>NOT(ISERROR(SEARCH($H$8,B203)))</formula>
      <formula>$H$8</formula>
    </cfRule>
    <cfRule type="containsText" dxfId="7940" priority="10189" operator="containsText" text="$H$9">
      <formula>NOT(ISERROR(SEARCH($H$9,B203)))</formula>
      <formula>$H$9</formula>
    </cfRule>
    <cfRule type="containsText" dxfId="7939" priority="10188" operator="containsText" text="$H$10">
      <formula>NOT(ISERROR(SEARCH($H$10,B203)))</formula>
      <formula>$H$10</formula>
    </cfRule>
    <cfRule type="containsText" dxfId="7938" priority="10187" operator="containsText" text="$H$11">
      <formula>NOT(ISERROR(SEARCH($H$11,B203)))</formula>
      <formula>$H$11</formula>
    </cfRule>
    <cfRule type="containsText" dxfId="7937" priority="10186" operator="containsText" text="$H$12">
      <formula>NOT(ISERROR(SEARCH($H$12,B203)))</formula>
      <formula>$H$12</formula>
    </cfRule>
    <cfRule type="containsText" dxfId="7936" priority="10185" operator="containsText" text="$H$13">
      <formula>NOT(ISERROR(SEARCH($H$13,B203)))</formula>
      <formula>$H$13</formula>
    </cfRule>
  </conditionalFormatting>
  <conditionalFormatting sqref="B221:F221">
    <cfRule type="containsText" dxfId="7935" priority="10184" operator="containsText" text="$H$7">
      <formula>NOT(ISERROR(SEARCH($H$7,B221)))</formula>
      <formula>$H$7</formula>
    </cfRule>
    <cfRule type="containsText" dxfId="7934" priority="10183" operator="containsText" text="$H$8">
      <formula>NOT(ISERROR(SEARCH($H$8,B221)))</formula>
      <formula>$H$8</formula>
    </cfRule>
    <cfRule type="containsText" dxfId="7933" priority="10182" operator="containsText" text="$H$8">
      <formula>NOT(ISERROR(SEARCH($H$8,B221)))</formula>
      <formula>$H$8</formula>
    </cfRule>
    <cfRule type="containsText" dxfId="7932" priority="10181" operator="containsText" text="$H$9">
      <formula>NOT(ISERROR(SEARCH($H$9,B221)))</formula>
      <formula>$H$9</formula>
    </cfRule>
    <cfRule type="containsText" dxfId="7931" priority="10180" operator="containsText" text="$H$10">
      <formula>NOT(ISERROR(SEARCH($H$10,B221)))</formula>
      <formula>$H$10</formula>
    </cfRule>
    <cfRule type="containsText" dxfId="7930" priority="10179" operator="containsText" text="$H$11">
      <formula>NOT(ISERROR(SEARCH($H$11,B221)))</formula>
      <formula>$H$11</formula>
    </cfRule>
    <cfRule type="containsText" dxfId="7929" priority="10178" operator="containsText" text="$H$12">
      <formula>NOT(ISERROR(SEARCH($H$12,B221)))</formula>
      <formula>$H$12</formula>
    </cfRule>
    <cfRule type="containsText" dxfId="7928" priority="10177" operator="containsText" text="$H$13">
      <formula>NOT(ISERROR(SEARCH($H$13,B221)))</formula>
      <formula>$H$13</formula>
    </cfRule>
  </conditionalFormatting>
  <conditionalFormatting sqref="B114">
    <cfRule type="containsText" dxfId="7927" priority="10176" operator="containsText" text="$H$7">
      <formula>NOT(ISERROR(SEARCH($H$7,B114)))</formula>
      <formula>$H$7</formula>
    </cfRule>
    <cfRule type="containsText" dxfId="7926" priority="10175" operator="containsText" text="$H$8">
      <formula>NOT(ISERROR(SEARCH($H$8,B114)))</formula>
      <formula>$H$8</formula>
    </cfRule>
    <cfRule type="containsText" dxfId="7925" priority="10174" operator="containsText" text="$H$8">
      <formula>NOT(ISERROR(SEARCH($H$8,B114)))</formula>
      <formula>$H$8</formula>
    </cfRule>
    <cfRule type="containsText" dxfId="7924" priority="10173" operator="containsText" text="$H$9">
      <formula>NOT(ISERROR(SEARCH($H$9,B114)))</formula>
      <formula>$H$9</formula>
    </cfRule>
    <cfRule type="containsText" dxfId="7923" priority="10172" operator="containsText" text="$H$10">
      <formula>NOT(ISERROR(SEARCH($H$10,B114)))</formula>
      <formula>$H$10</formula>
    </cfRule>
    <cfRule type="containsText" dxfId="7922" priority="10171" operator="containsText" text="$H$11">
      <formula>NOT(ISERROR(SEARCH($H$11,B114)))</formula>
      <formula>$H$11</formula>
    </cfRule>
    <cfRule type="containsText" dxfId="7921" priority="10170" operator="containsText" text="$H$12">
      <formula>NOT(ISERROR(SEARCH($H$12,B114)))</formula>
      <formula>$H$12</formula>
    </cfRule>
    <cfRule type="containsText" dxfId="7920" priority="10169" operator="containsText" text="$H$13">
      <formula>NOT(ISERROR(SEARCH($H$13,B114)))</formula>
      <formula>$H$13</formula>
    </cfRule>
  </conditionalFormatting>
  <conditionalFormatting sqref="B114">
    <cfRule type="containsText" dxfId="7919" priority="10168" operator="containsText" text="$H$7">
      <formula>NOT(ISERROR(SEARCH($H$7,B114)))</formula>
      <formula>$H$7</formula>
    </cfRule>
    <cfRule type="containsText" dxfId="7918" priority="10167" operator="containsText" text="$H$8">
      <formula>NOT(ISERROR(SEARCH($H$8,B114)))</formula>
      <formula>$H$8</formula>
    </cfRule>
    <cfRule type="containsText" dxfId="7917" priority="10166" operator="containsText" text="$H$8">
      <formula>NOT(ISERROR(SEARCH($H$8,B114)))</formula>
      <formula>$H$8</formula>
    </cfRule>
    <cfRule type="containsText" dxfId="7916" priority="10165" operator="containsText" text="$H$9">
      <formula>NOT(ISERROR(SEARCH($H$9,B114)))</formula>
      <formula>$H$9</formula>
    </cfRule>
    <cfRule type="containsText" dxfId="7915" priority="10164" operator="containsText" text="$H$10">
      <formula>NOT(ISERROR(SEARCH($H$10,B114)))</formula>
      <formula>$H$10</formula>
    </cfRule>
    <cfRule type="containsText" dxfId="7914" priority="10163" operator="containsText" text="$H$11">
      <formula>NOT(ISERROR(SEARCH($H$11,B114)))</formula>
      <formula>$H$11</formula>
    </cfRule>
    <cfRule type="containsText" dxfId="7913" priority="10162" operator="containsText" text="$H$12">
      <formula>NOT(ISERROR(SEARCH($H$12,B114)))</formula>
      <formula>$H$12</formula>
    </cfRule>
    <cfRule type="containsText" dxfId="7912" priority="10161" operator="containsText" text="$H$13">
      <formula>NOT(ISERROR(SEARCH($H$13,B114)))</formula>
      <formula>$H$13</formula>
    </cfRule>
  </conditionalFormatting>
  <conditionalFormatting sqref="F78">
    <cfRule type="containsText" dxfId="7911" priority="10160" operator="containsText" text="$H$7">
      <formula>NOT(ISERROR(SEARCH($H$7,F78)))</formula>
      <formula>$H$7</formula>
    </cfRule>
    <cfRule type="containsText" dxfId="7910" priority="10159" operator="containsText" text="$H$8">
      <formula>NOT(ISERROR(SEARCH($H$8,F78)))</formula>
      <formula>$H$8</formula>
    </cfRule>
    <cfRule type="containsText" dxfId="7909" priority="10158" operator="containsText" text="$H$8">
      <formula>NOT(ISERROR(SEARCH($H$8,F78)))</formula>
      <formula>$H$8</formula>
    </cfRule>
    <cfRule type="containsText" dxfId="7908" priority="10157" operator="containsText" text="$H$9">
      <formula>NOT(ISERROR(SEARCH($H$9,F78)))</formula>
      <formula>$H$9</formula>
    </cfRule>
    <cfRule type="containsText" dxfId="7907" priority="10156" operator="containsText" text="$H$10">
      <formula>NOT(ISERROR(SEARCH($H$10,F78)))</formula>
      <formula>$H$10</formula>
    </cfRule>
    <cfRule type="containsText" dxfId="7906" priority="10155" operator="containsText" text="$H$11">
      <formula>NOT(ISERROR(SEARCH($H$11,F78)))</formula>
      <formula>$H$11</formula>
    </cfRule>
    <cfRule type="containsText" dxfId="7905" priority="10154" operator="containsText" text="$H$12">
      <formula>NOT(ISERROR(SEARCH($H$12,F78)))</formula>
      <formula>$H$12</formula>
    </cfRule>
    <cfRule type="containsText" dxfId="7904" priority="10153" operator="containsText" text="$H$13">
      <formula>NOT(ISERROR(SEARCH($H$13,F78)))</formula>
      <formula>$H$13</formula>
    </cfRule>
  </conditionalFormatting>
  <conditionalFormatting sqref="D159 D161 D163 D165">
    <cfRule type="containsText" dxfId="7903" priority="10024" operator="containsText" text="=">
      <formula>"="</formula>
      <formula>$H$7</formula>
    </cfRule>
    <cfRule type="containsText" dxfId="7902" priority="10023" operator="containsText" text="=">
      <formula>"="</formula>
      <formula>$H$8</formula>
    </cfRule>
    <cfRule type="containsText" dxfId="7901" priority="10022" operator="containsText" text="=">
      <formula>"="</formula>
      <formula>$H$8</formula>
    </cfRule>
    <cfRule type="containsText" dxfId="7900" priority="10021" operator="containsText" text="=">
      <formula>"="</formula>
      <formula>$H$9</formula>
    </cfRule>
    <cfRule type="containsText" dxfId="7899" priority="10020" operator="containsText" text="=">
      <formula>"="</formula>
      <formula>$H$10</formula>
    </cfRule>
    <cfRule type="containsText" dxfId="7898" priority="10019" operator="containsText" text="=">
      <formula>"="</formula>
      <formula>$H$11</formula>
    </cfRule>
    <cfRule type="containsText" dxfId="7897" priority="10018" operator="containsText" text="=">
      <formula>"="</formula>
      <formula>$H$12</formula>
    </cfRule>
    <cfRule type="containsText" dxfId="7896" priority="10017" operator="containsText" text="=">
      <formula>"="</formula>
      <formula>$H$13</formula>
    </cfRule>
  </conditionalFormatting>
  <conditionalFormatting sqref="D150:D157">
    <cfRule type="containsText" dxfId="7895" priority="10016" operator="containsText" text="$H$7">
      <formula>NOT(ISERROR(SEARCH($H$7,D150)))</formula>
      <formula>$H$7</formula>
    </cfRule>
    <cfRule type="containsText" dxfId="7894" priority="10015" operator="containsText" text="$H$8">
      <formula>NOT(ISERROR(SEARCH($H$8,D150)))</formula>
      <formula>$H$8</formula>
    </cfRule>
    <cfRule type="containsText" dxfId="7893" priority="10014" operator="containsText" text="$H$8">
      <formula>NOT(ISERROR(SEARCH($H$8,D150)))</formula>
      <formula>$H$8</formula>
    </cfRule>
    <cfRule type="containsText" dxfId="7892" priority="10013" operator="containsText" text="$H$9">
      <formula>NOT(ISERROR(SEARCH($H$9,D150)))</formula>
      <formula>$H$9</formula>
    </cfRule>
    <cfRule type="containsText" dxfId="7891" priority="10012" operator="containsText" text="$H$10">
      <formula>NOT(ISERROR(SEARCH($H$10,D150)))</formula>
      <formula>$H$10</formula>
    </cfRule>
    <cfRule type="containsText" dxfId="7890" priority="10011" operator="containsText" text="$H$11">
      <formula>NOT(ISERROR(SEARCH($H$11,D150)))</formula>
      <formula>$H$11</formula>
    </cfRule>
    <cfRule type="containsText" dxfId="7889" priority="10010" operator="containsText" text="$H$12">
      <formula>NOT(ISERROR(SEARCH($H$12,D150)))</formula>
      <formula>$H$12</formula>
    </cfRule>
    <cfRule type="containsText" dxfId="7888" priority="10009" operator="containsText" text="$H$13">
      <formula>NOT(ISERROR(SEARCH($H$13,D150)))</formula>
      <formula>$H$13</formula>
    </cfRule>
  </conditionalFormatting>
  <conditionalFormatting sqref="F447 F449:F453">
    <cfRule type="containsText" dxfId="7887" priority="10152" operator="containsText" text="$H$7">
      <formula>NOT(ISERROR(SEARCH($H$7,F447)))</formula>
      <formula>$H$7</formula>
    </cfRule>
    <cfRule type="containsText" dxfId="7886" priority="10151" operator="containsText" text="$H$8">
      <formula>NOT(ISERROR(SEARCH($H$8,F447)))</formula>
      <formula>$H$8</formula>
    </cfRule>
    <cfRule type="containsText" dxfId="7885" priority="10150" operator="containsText" text="$H$8">
      <formula>NOT(ISERROR(SEARCH($H$8,F447)))</formula>
      <formula>$H$8</formula>
    </cfRule>
    <cfRule type="containsText" dxfId="7884" priority="10149" operator="containsText" text="$H$9">
      <formula>NOT(ISERROR(SEARCH($H$9,F447)))</formula>
      <formula>$H$9</formula>
    </cfRule>
    <cfRule type="containsText" dxfId="7883" priority="10148" operator="containsText" text="$H$10">
      <formula>NOT(ISERROR(SEARCH($H$10,F447)))</formula>
      <formula>$H$10</formula>
    </cfRule>
    <cfRule type="containsText" dxfId="7882" priority="10147" operator="containsText" text="$H$11">
      <formula>NOT(ISERROR(SEARCH($H$11,F447)))</formula>
      <formula>$H$11</formula>
    </cfRule>
    <cfRule type="containsText" dxfId="7881" priority="10146" operator="containsText" text="$H$12">
      <formula>NOT(ISERROR(SEARCH($H$12,F447)))</formula>
      <formula>$H$12</formula>
    </cfRule>
    <cfRule type="containsText" dxfId="7880" priority="10145" operator="containsText" text="$H$13">
      <formula>NOT(ISERROR(SEARCH($H$13,F447)))</formula>
      <formula>$H$13</formula>
    </cfRule>
  </conditionalFormatting>
  <conditionalFormatting sqref="C32:F39">
    <cfRule type="containsText" dxfId="7879" priority="10144" operator="containsText" text="$H$7">
      <formula>NOT(ISERROR(SEARCH($H$7,C32)))</formula>
      <formula>$H$7</formula>
    </cfRule>
    <cfRule type="containsText" dxfId="7878" priority="10143" operator="containsText" text="$H$8">
      <formula>NOT(ISERROR(SEARCH($H$8,C32)))</formula>
      <formula>$H$8</formula>
    </cfRule>
    <cfRule type="containsText" dxfId="7877" priority="10142" operator="containsText" text="$H$8">
      <formula>NOT(ISERROR(SEARCH($H$8,C32)))</formula>
      <formula>$H$8</formula>
    </cfRule>
    <cfRule type="containsText" dxfId="7876" priority="10141" operator="containsText" text="$H$9">
      <formula>NOT(ISERROR(SEARCH($H$9,C32)))</formula>
      <formula>$H$9</formula>
    </cfRule>
    <cfRule type="containsText" dxfId="7875" priority="10140" operator="containsText" text="$H$10">
      <formula>NOT(ISERROR(SEARCH($H$10,C32)))</formula>
      <formula>$H$10</formula>
    </cfRule>
    <cfRule type="containsText" dxfId="7874" priority="10139" operator="containsText" text="$H$11">
      <formula>NOT(ISERROR(SEARCH($H$11,C32)))</formula>
      <formula>$H$11</formula>
    </cfRule>
    <cfRule type="containsText" dxfId="7873" priority="10138" operator="containsText" text="$H$12">
      <formula>NOT(ISERROR(SEARCH($H$12,C32)))</formula>
      <formula>$H$12</formula>
    </cfRule>
    <cfRule type="containsText" dxfId="7872" priority="10137" operator="containsText" text="$H$13">
      <formula>NOT(ISERROR(SEARCH($H$13,C32)))</formula>
      <formula>$H$13</formula>
    </cfRule>
  </conditionalFormatting>
  <conditionalFormatting sqref="E42:E49">
    <cfRule type="containsText" dxfId="7871" priority="10128" operator="containsText" text="$H$7">
      <formula>NOT(ISERROR(SEARCH($H$7,E42)))</formula>
      <formula>$H$7</formula>
    </cfRule>
    <cfRule type="containsText" dxfId="7870" priority="10127" operator="containsText" text="$H$8">
      <formula>NOT(ISERROR(SEARCH($H$8,E42)))</formula>
      <formula>$H$8</formula>
    </cfRule>
    <cfRule type="containsText" dxfId="7869" priority="10126" operator="containsText" text="$H$8">
      <formula>NOT(ISERROR(SEARCH($H$8,E42)))</formula>
      <formula>$H$8</formula>
    </cfRule>
    <cfRule type="containsText" dxfId="7868" priority="10125" operator="containsText" text="$H$9">
      <formula>NOT(ISERROR(SEARCH($H$9,E42)))</formula>
      <formula>$H$9</formula>
    </cfRule>
    <cfRule type="containsText" dxfId="7867" priority="10124" operator="containsText" text="$H$10">
      <formula>NOT(ISERROR(SEARCH($H$10,E42)))</formula>
      <formula>$H$10</formula>
    </cfRule>
    <cfRule type="containsText" dxfId="7866" priority="10123" operator="containsText" text="$H$11">
      <formula>NOT(ISERROR(SEARCH($H$11,E42)))</formula>
      <formula>$H$11</formula>
    </cfRule>
    <cfRule type="containsText" dxfId="7865" priority="10122" operator="containsText" text="$H$12">
      <formula>NOT(ISERROR(SEARCH($H$12,E42)))</formula>
      <formula>$H$12</formula>
    </cfRule>
    <cfRule type="containsText" dxfId="7864" priority="10121" operator="containsText" text="$H$13">
      <formula>NOT(ISERROR(SEARCH($H$13,E42)))</formula>
      <formula>$H$13</formula>
    </cfRule>
  </conditionalFormatting>
  <conditionalFormatting sqref="C348">
    <cfRule type="containsText" dxfId="7863" priority="10032" operator="containsText" text="$H$7">
      <formula>NOT(ISERROR(SEARCH($H$7,C348)))</formula>
      <formula>$H$7</formula>
    </cfRule>
    <cfRule type="containsText" dxfId="7862" priority="10031" operator="containsText" text="$H$8">
      <formula>NOT(ISERROR(SEARCH($H$8,C348)))</formula>
      <formula>$H$8</formula>
    </cfRule>
    <cfRule type="containsText" dxfId="7861" priority="10030" operator="containsText" text="$H$8">
      <formula>NOT(ISERROR(SEARCH($H$8,C348)))</formula>
      <formula>$H$8</formula>
    </cfRule>
    <cfRule type="containsText" dxfId="7860" priority="10029" operator="containsText" text="$H$9">
      <formula>NOT(ISERROR(SEARCH($H$9,C348)))</formula>
      <formula>$H$9</formula>
    </cfRule>
    <cfRule type="containsText" dxfId="7859" priority="10028" operator="containsText" text="$H$10">
      <formula>NOT(ISERROR(SEARCH($H$10,C348)))</formula>
      <formula>$H$10</formula>
    </cfRule>
    <cfRule type="containsText" dxfId="7858" priority="10027" operator="containsText" text="$H$11">
      <formula>NOT(ISERROR(SEARCH($H$11,C348)))</formula>
      <formula>$H$11</formula>
    </cfRule>
    <cfRule type="containsText" dxfId="7857" priority="10026" operator="containsText" text="$H$12">
      <formula>NOT(ISERROR(SEARCH($H$12,C348)))</formula>
      <formula>$H$12</formula>
    </cfRule>
    <cfRule type="containsText" dxfId="7856" priority="10025" operator="containsText" text="$H$13">
      <formula>NOT(ISERROR(SEARCH($H$13,C348)))</formula>
      <formula>$H$13</formula>
    </cfRule>
  </conditionalFormatting>
  <conditionalFormatting sqref="C206:C211">
    <cfRule type="containsText" dxfId="7855" priority="9936" operator="containsText" text="$H$7">
      <formula>NOT(ISERROR(SEARCH($H$7,C206)))</formula>
      <formula>$H$7</formula>
    </cfRule>
    <cfRule type="containsText" dxfId="7854" priority="9935" operator="containsText" text="$H$8">
      <formula>NOT(ISERROR(SEARCH($H$8,C206)))</formula>
      <formula>$H$8</formula>
    </cfRule>
    <cfRule type="containsText" dxfId="7853" priority="9934" operator="containsText" text="$H$8">
      <formula>NOT(ISERROR(SEARCH($H$8,C206)))</formula>
      <formula>$H$8</formula>
    </cfRule>
    <cfRule type="containsText" dxfId="7852" priority="9933" operator="containsText" text="$H$9">
      <formula>NOT(ISERROR(SEARCH($H$9,C206)))</formula>
      <formula>$H$9</formula>
    </cfRule>
    <cfRule type="containsText" dxfId="7851" priority="9932" operator="containsText" text="$H$10">
      <formula>NOT(ISERROR(SEARCH($H$10,C206)))</formula>
      <formula>$H$10</formula>
    </cfRule>
    <cfRule type="containsText" dxfId="7850" priority="9931" operator="containsText" text="$H$11">
      <formula>NOT(ISERROR(SEARCH($H$11,C206)))</formula>
      <formula>$H$11</formula>
    </cfRule>
    <cfRule type="containsText" dxfId="7849" priority="9930" operator="containsText" text="$H$12">
      <formula>NOT(ISERROR(SEARCH($H$12,C206)))</formula>
      <formula>$H$12</formula>
    </cfRule>
    <cfRule type="containsText" dxfId="7848" priority="9929" operator="containsText" text="$H$13">
      <formula>NOT(ISERROR(SEARCH($H$13,C206)))</formula>
      <formula>$H$13</formula>
    </cfRule>
  </conditionalFormatting>
  <conditionalFormatting sqref="B150">
    <cfRule type="containsText" dxfId="7847" priority="10048" operator="containsText" text="$H$7">
      <formula>NOT(ISERROR(SEARCH($H$7,B150)))</formula>
      <formula>$H$7</formula>
    </cfRule>
    <cfRule type="containsText" dxfId="7846" priority="10047" operator="containsText" text="$H$8">
      <formula>NOT(ISERROR(SEARCH($H$8,B150)))</formula>
      <formula>$H$8</formula>
    </cfRule>
    <cfRule type="containsText" dxfId="7845" priority="10046" operator="containsText" text="$H$8">
      <formula>NOT(ISERROR(SEARCH($H$8,B150)))</formula>
      <formula>$H$8</formula>
    </cfRule>
    <cfRule type="containsText" dxfId="7844" priority="10045" operator="containsText" text="$H$9">
      <formula>NOT(ISERROR(SEARCH($H$9,B150)))</formula>
      <formula>$H$9</formula>
    </cfRule>
    <cfRule type="containsText" dxfId="7843" priority="10044" operator="containsText" text="$H$10">
      <formula>NOT(ISERROR(SEARCH($H$10,B150)))</formula>
      <formula>$H$10</formula>
    </cfRule>
    <cfRule type="containsText" dxfId="7842" priority="10043" operator="containsText" text="$H$11">
      <formula>NOT(ISERROR(SEARCH($H$11,B150)))</formula>
      <formula>$H$11</formula>
    </cfRule>
    <cfRule type="containsText" dxfId="7841" priority="10042" operator="containsText" text="$H$12">
      <formula>NOT(ISERROR(SEARCH($H$12,B150)))</formula>
      <formula>$H$12</formula>
    </cfRule>
    <cfRule type="containsText" dxfId="7840" priority="10041" operator="containsText" text="$H$13">
      <formula>NOT(ISERROR(SEARCH($H$13,B150)))</formula>
      <formula>$H$13</formula>
    </cfRule>
  </conditionalFormatting>
  <conditionalFormatting sqref="C212:C219">
    <cfRule type="containsText" dxfId="7839" priority="9928" operator="containsText" text="$H$7">
      <formula>NOT(ISERROR(SEARCH($H$7,C212)))</formula>
      <formula>$H$7</formula>
    </cfRule>
    <cfRule type="containsText" dxfId="7838" priority="9927" operator="containsText" text="$H$8">
      <formula>NOT(ISERROR(SEARCH($H$8,C212)))</formula>
      <formula>$H$8</formula>
    </cfRule>
    <cfRule type="containsText" dxfId="7837" priority="9926" operator="containsText" text="$H$8">
      <formula>NOT(ISERROR(SEARCH($H$8,C212)))</formula>
      <formula>$H$8</formula>
    </cfRule>
    <cfRule type="containsText" dxfId="7836" priority="9925" operator="containsText" text="$H$9">
      <formula>NOT(ISERROR(SEARCH($H$9,C212)))</formula>
      <formula>$H$9</formula>
    </cfRule>
    <cfRule type="containsText" dxfId="7835" priority="9924" operator="containsText" text="$H$10">
      <formula>NOT(ISERROR(SEARCH($H$10,C212)))</formula>
      <formula>$H$10</formula>
    </cfRule>
    <cfRule type="containsText" dxfId="7834" priority="9923" operator="containsText" text="$H$11">
      <formula>NOT(ISERROR(SEARCH($H$11,C212)))</formula>
      <formula>$H$11</formula>
    </cfRule>
    <cfRule type="containsText" dxfId="7833" priority="9922" operator="containsText" text="$H$12">
      <formula>NOT(ISERROR(SEARCH($H$12,C212)))</formula>
      <formula>$H$12</formula>
    </cfRule>
    <cfRule type="containsText" dxfId="7832" priority="9921" operator="containsText" text="$H$13">
      <formula>NOT(ISERROR(SEARCH($H$13,C212)))</formula>
      <formula>$H$13</formula>
    </cfRule>
  </conditionalFormatting>
  <conditionalFormatting sqref="F122:F129">
    <cfRule type="containsText" dxfId="7831" priority="10064" operator="containsText" text="$H$7">
      <formula>NOT(ISERROR(SEARCH($H$7,F122)))</formula>
      <formula>$H$7</formula>
    </cfRule>
    <cfRule type="containsText" dxfId="7830" priority="10063" operator="containsText" text="$H$8">
      <formula>NOT(ISERROR(SEARCH($H$8,F122)))</formula>
      <formula>$H$8</formula>
    </cfRule>
    <cfRule type="containsText" dxfId="7829" priority="10062" operator="containsText" text="$H$8">
      <formula>NOT(ISERROR(SEARCH($H$8,F122)))</formula>
      <formula>$H$8</formula>
    </cfRule>
    <cfRule type="containsText" dxfId="7828" priority="10061" operator="containsText" text="$H$9">
      <formula>NOT(ISERROR(SEARCH($H$9,F122)))</formula>
      <formula>$H$9</formula>
    </cfRule>
    <cfRule type="containsText" dxfId="7827" priority="10060" operator="containsText" text="$H$10">
      <formula>NOT(ISERROR(SEARCH($H$10,F122)))</formula>
      <formula>$H$10</formula>
    </cfRule>
    <cfRule type="containsText" dxfId="7826" priority="10059" operator="containsText" text="$H$11">
      <formula>NOT(ISERROR(SEARCH($H$11,F122)))</formula>
      <formula>$H$11</formula>
    </cfRule>
    <cfRule type="containsText" dxfId="7825" priority="10058" operator="containsText" text="$H$12">
      <formula>NOT(ISERROR(SEARCH($H$12,F122)))</formula>
      <formula>$H$12</formula>
    </cfRule>
    <cfRule type="containsText" dxfId="7824" priority="10057" operator="containsText" text="$H$13">
      <formula>NOT(ISERROR(SEARCH($H$13,F122)))</formula>
      <formula>$H$13</formula>
    </cfRule>
  </conditionalFormatting>
  <conditionalFormatting sqref="F115 F117 F119 F121">
    <cfRule type="containsText" dxfId="7823" priority="10080" operator="containsText" text="=">
      <formula>"="</formula>
      <formula>$H$7</formula>
    </cfRule>
    <cfRule type="containsText" dxfId="7822" priority="10079" operator="containsText" text="=">
      <formula>"="</formula>
      <formula>$H$8</formula>
    </cfRule>
    <cfRule type="containsText" dxfId="7821" priority="10078" operator="containsText" text="=">
      <formula>"="</formula>
      <formula>$H$8</formula>
    </cfRule>
    <cfRule type="containsText" dxfId="7820" priority="10077" operator="containsText" text="=">
      <formula>"="</formula>
      <formula>$H$9</formula>
    </cfRule>
    <cfRule type="containsText" dxfId="7819" priority="10076" operator="containsText" text="=">
      <formula>"="</formula>
      <formula>$H$10</formula>
    </cfRule>
    <cfRule type="containsText" dxfId="7818" priority="10075" operator="containsText" text="=">
      <formula>"="</formula>
      <formula>$H$11</formula>
    </cfRule>
    <cfRule type="containsText" dxfId="7817" priority="10074" operator="containsText" text="=">
      <formula>"="</formula>
      <formula>$H$12</formula>
    </cfRule>
    <cfRule type="containsText" dxfId="7816" priority="10073" operator="containsText" text="=">
      <formula>"="</formula>
      <formula>$H$13</formula>
    </cfRule>
  </conditionalFormatting>
  <conditionalFormatting sqref="F68:F75">
    <cfRule type="containsText" dxfId="7815" priority="10120" operator="containsText" text="$H$7">
      <formula>NOT(ISERROR(SEARCH($H$7,F68)))</formula>
      <formula>$H$7</formula>
    </cfRule>
    <cfRule type="containsText" dxfId="7814" priority="10119" operator="containsText" text="$H$8">
      <formula>NOT(ISERROR(SEARCH($H$8,F68)))</formula>
      <formula>$H$8</formula>
    </cfRule>
    <cfRule type="containsText" dxfId="7813" priority="10118" operator="containsText" text="$H$8">
      <formula>NOT(ISERROR(SEARCH($H$8,F68)))</formula>
      <formula>$H$8</formula>
    </cfRule>
    <cfRule type="containsText" dxfId="7812" priority="10117" operator="containsText" text="$H$9">
      <formula>NOT(ISERROR(SEARCH($H$9,F68)))</formula>
      <formula>$H$9</formula>
    </cfRule>
    <cfRule type="containsText" dxfId="7811" priority="10116" operator="containsText" text="$H$10">
      <formula>NOT(ISERROR(SEARCH($H$10,F68)))</formula>
      <formula>$H$10</formula>
    </cfRule>
    <cfRule type="containsText" dxfId="7810" priority="10115" operator="containsText" text="$H$11">
      <formula>NOT(ISERROR(SEARCH($H$11,F68)))</formula>
      <formula>$H$11</formula>
    </cfRule>
    <cfRule type="containsText" dxfId="7809" priority="10114" operator="containsText" text="$H$12">
      <formula>NOT(ISERROR(SEARCH($H$12,F68)))</formula>
      <formula>$H$12</formula>
    </cfRule>
    <cfRule type="containsText" dxfId="7808" priority="10113" operator="containsText" text="$H$13">
      <formula>NOT(ISERROR(SEARCH($H$13,F68)))</formula>
      <formula>$H$13</formula>
    </cfRule>
  </conditionalFormatting>
  <conditionalFormatting sqref="E176:E183">
    <cfRule type="containsText" dxfId="7807" priority="10000" operator="containsText" text="$H$7">
      <formula>NOT(ISERROR(SEARCH($H$7,E176)))</formula>
      <formula>$H$7</formula>
    </cfRule>
    <cfRule type="containsText" dxfId="7806" priority="9999" operator="containsText" text="$H$8">
      <formula>NOT(ISERROR(SEARCH($H$8,E176)))</formula>
      <formula>$H$8</formula>
    </cfRule>
    <cfRule type="containsText" dxfId="7805" priority="9998" operator="containsText" text="$H$8">
      <formula>NOT(ISERROR(SEARCH($H$8,E176)))</formula>
      <formula>$H$8</formula>
    </cfRule>
    <cfRule type="containsText" dxfId="7804" priority="9997" operator="containsText" text="$H$9">
      <formula>NOT(ISERROR(SEARCH($H$9,E176)))</formula>
      <formula>$H$9</formula>
    </cfRule>
    <cfRule type="containsText" dxfId="7803" priority="9996" operator="containsText" text="$H$10">
      <formula>NOT(ISERROR(SEARCH($H$10,E176)))</formula>
      <formula>$H$10</formula>
    </cfRule>
    <cfRule type="containsText" dxfId="7802" priority="9995" operator="containsText" text="$H$11">
      <formula>NOT(ISERROR(SEARCH($H$11,E176)))</formula>
      <formula>$H$11</formula>
    </cfRule>
    <cfRule type="containsText" dxfId="7801" priority="9994" operator="containsText" text="$H$12">
      <formula>NOT(ISERROR(SEARCH($H$12,E176)))</formula>
      <formula>$H$12</formula>
    </cfRule>
    <cfRule type="containsText" dxfId="7800" priority="9993" operator="containsText" text="$H$13">
      <formula>NOT(ISERROR(SEARCH($H$13,E176)))</formula>
      <formula>$H$13</formula>
    </cfRule>
  </conditionalFormatting>
  <conditionalFormatting sqref="F96:F103 F105 F107 F109 F111">
    <cfRule type="containsText" dxfId="7799" priority="10112" operator="containsText" text="=">
      <formula>"="</formula>
      <formula>$H$7</formula>
    </cfRule>
    <cfRule type="containsText" dxfId="7798" priority="10111" operator="containsText" text="=">
      <formula>"="</formula>
      <formula>$H$8</formula>
    </cfRule>
    <cfRule type="containsText" dxfId="7797" priority="10110" operator="containsText" text="=">
      <formula>"="</formula>
      <formula>$H$8</formula>
    </cfRule>
    <cfRule type="containsText" dxfId="7796" priority="10109" operator="containsText" text="=">
      <formula>"="</formula>
      <formula>$H$9</formula>
    </cfRule>
    <cfRule type="containsText" dxfId="7795" priority="10108" operator="containsText" text="=">
      <formula>"="</formula>
      <formula>$H$10</formula>
    </cfRule>
    <cfRule type="containsText" dxfId="7794" priority="10107" operator="containsText" text="=">
      <formula>"="</formula>
      <formula>$H$11</formula>
    </cfRule>
    <cfRule type="containsText" dxfId="7793" priority="10106" operator="containsText" text="=">
      <formula>"="</formula>
      <formula>$H$12</formula>
    </cfRule>
    <cfRule type="containsText" dxfId="7792" priority="10105" operator="containsText" text="=">
      <formula>"="</formula>
      <formula>$H$13</formula>
    </cfRule>
  </conditionalFormatting>
  <conditionalFormatting sqref="F96:F103">
    <cfRule type="containsText" dxfId="7791" priority="10104" operator="containsText" text="$H$7">
      <formula>NOT(ISERROR(SEARCH($H$7,F96)))</formula>
      <formula>$H$7</formula>
    </cfRule>
    <cfRule type="containsText" dxfId="7790" priority="10103" operator="containsText" text="$H$8">
      <formula>NOT(ISERROR(SEARCH($H$8,F96)))</formula>
      <formula>$H$8</formula>
    </cfRule>
    <cfRule type="containsText" dxfId="7789" priority="10102" operator="containsText" text="$H$8">
      <formula>NOT(ISERROR(SEARCH($H$8,F96)))</formula>
      <formula>$H$8</formula>
    </cfRule>
    <cfRule type="containsText" dxfId="7788" priority="10101" operator="containsText" text="$H$9">
      <formula>NOT(ISERROR(SEARCH($H$9,F96)))</formula>
      <formula>$H$9</formula>
    </cfRule>
    <cfRule type="containsText" dxfId="7787" priority="10100" operator="containsText" text="$H$10">
      <formula>NOT(ISERROR(SEARCH($H$10,F96)))</formula>
      <formula>$H$10</formula>
    </cfRule>
    <cfRule type="containsText" dxfId="7786" priority="10099" operator="containsText" text="$H$11">
      <formula>NOT(ISERROR(SEARCH($H$11,F96)))</formula>
      <formula>$H$11</formula>
    </cfRule>
    <cfRule type="containsText" dxfId="7785" priority="10098" operator="containsText" text="$H$12">
      <formula>NOT(ISERROR(SEARCH($H$12,F96)))</formula>
      <formula>$H$12</formula>
    </cfRule>
    <cfRule type="containsText" dxfId="7784" priority="10097" operator="containsText" text="$H$13">
      <formula>NOT(ISERROR(SEARCH($H$13,F96)))</formula>
      <formula>$H$13</formula>
    </cfRule>
  </conditionalFormatting>
  <conditionalFormatting sqref="D122:D129">
    <cfRule type="containsText" dxfId="7783" priority="10096" operator="containsText" text="$H$7">
      <formula>NOT(ISERROR(SEARCH($H$7,D122)))</formula>
      <formula>$H$7</formula>
    </cfRule>
    <cfRule type="containsText" dxfId="7782" priority="10095" operator="containsText" text="$H$8">
      <formula>NOT(ISERROR(SEARCH($H$8,D122)))</formula>
      <formula>$H$8</formula>
    </cfRule>
    <cfRule type="containsText" dxfId="7781" priority="10094" operator="containsText" text="$H$8">
      <formula>NOT(ISERROR(SEARCH($H$8,D122)))</formula>
      <formula>$H$8</formula>
    </cfRule>
    <cfRule type="containsText" dxfId="7780" priority="10093" operator="containsText" text="$H$9">
      <formula>NOT(ISERROR(SEARCH($H$9,D122)))</formula>
      <formula>$H$9</formula>
    </cfRule>
    <cfRule type="containsText" dxfId="7779" priority="10092" operator="containsText" text="$H$10">
      <formula>NOT(ISERROR(SEARCH($H$10,D122)))</formula>
      <formula>$H$10</formula>
    </cfRule>
    <cfRule type="containsText" dxfId="7778" priority="10091" operator="containsText" text="$H$11">
      <formula>NOT(ISERROR(SEARCH($H$11,D122)))</formula>
      <formula>$H$11</formula>
    </cfRule>
    <cfRule type="containsText" dxfId="7777" priority="10090" operator="containsText" text="$H$12">
      <formula>NOT(ISERROR(SEARCH($H$12,D122)))</formula>
      <formula>$H$12</formula>
    </cfRule>
    <cfRule type="containsText" dxfId="7776" priority="10089" operator="containsText" text="$H$13">
      <formula>NOT(ISERROR(SEARCH($H$13,D122)))</formula>
      <formula>$H$13</formula>
    </cfRule>
  </conditionalFormatting>
  <conditionalFormatting sqref="D122:D129">
    <cfRule type="containsText" dxfId="7775" priority="10088" operator="containsText" text="$H$7">
      <formula>NOT(ISERROR(SEARCH($H$7,D122)))</formula>
      <formula>$H$7</formula>
    </cfRule>
    <cfRule type="containsText" dxfId="7774" priority="10087" operator="containsText" text="$H$8">
      <formula>NOT(ISERROR(SEARCH($H$8,D122)))</formula>
      <formula>$H$8</formula>
    </cfRule>
    <cfRule type="containsText" dxfId="7773" priority="10086" operator="containsText" text="$H$8">
      <formula>NOT(ISERROR(SEARCH($H$8,D122)))</formula>
      <formula>$H$8</formula>
    </cfRule>
    <cfRule type="containsText" dxfId="7772" priority="10085" operator="containsText" text="$H$9">
      <formula>NOT(ISERROR(SEARCH($H$9,D122)))</formula>
      <formula>$H$9</formula>
    </cfRule>
    <cfRule type="containsText" dxfId="7771" priority="10084" operator="containsText" text="$H$10">
      <formula>NOT(ISERROR(SEARCH($H$10,D122)))</formula>
      <formula>$H$10</formula>
    </cfRule>
    <cfRule type="containsText" dxfId="7770" priority="10083" operator="containsText" text="$H$11">
      <formula>NOT(ISERROR(SEARCH($H$11,D122)))</formula>
      <formula>$H$11</formula>
    </cfRule>
    <cfRule type="containsText" dxfId="7769" priority="10082" operator="containsText" text="$H$12">
      <formula>NOT(ISERROR(SEARCH($H$12,D122)))</formula>
      <formula>$H$12</formula>
    </cfRule>
    <cfRule type="containsText" dxfId="7768" priority="10081" operator="containsText" text="$H$13">
      <formula>NOT(ISERROR(SEARCH($H$13,D122)))</formula>
      <formula>$H$13</formula>
    </cfRule>
  </conditionalFormatting>
  <conditionalFormatting sqref="F115 F117 F119 F121">
    <cfRule type="containsText" dxfId="7767" priority="10072" operator="containsText" text="=">
      <formula>"="</formula>
      <formula>$H$7</formula>
    </cfRule>
    <cfRule type="containsText" dxfId="7766" priority="10071" operator="containsText" text="=">
      <formula>"="</formula>
      <formula>$H$8</formula>
    </cfRule>
    <cfRule type="containsText" dxfId="7765" priority="10070" operator="containsText" text="=">
      <formula>"="</formula>
      <formula>$H$8</formula>
    </cfRule>
    <cfRule type="containsText" dxfId="7764" priority="10069" operator="containsText" text="=">
      <formula>"="</formula>
      <formula>$H$9</formula>
    </cfRule>
    <cfRule type="containsText" dxfId="7763" priority="10068" operator="containsText" text="=">
      <formula>"="</formula>
      <formula>$H$10</formula>
    </cfRule>
    <cfRule type="containsText" dxfId="7762" priority="10067" operator="containsText" text="=">
      <formula>"="</formula>
      <formula>$H$11</formula>
    </cfRule>
    <cfRule type="containsText" dxfId="7761" priority="10066" operator="containsText" text="=">
      <formula>"="</formula>
      <formula>$H$12</formula>
    </cfRule>
    <cfRule type="containsText" dxfId="7760" priority="10065" operator="containsText" text="=">
      <formula>"="</formula>
      <formula>$H$13</formula>
    </cfRule>
  </conditionalFormatting>
  <conditionalFormatting sqref="B150">
    <cfRule type="containsText" dxfId="7759" priority="10040" operator="containsText" text="$H$7">
      <formula>NOT(ISERROR(SEARCH($H$7,B150)))</formula>
      <formula>$H$7</formula>
    </cfRule>
    <cfRule type="containsText" dxfId="7758" priority="10039" operator="containsText" text="$H$8">
      <formula>NOT(ISERROR(SEARCH($H$8,B150)))</formula>
      <formula>$H$8</formula>
    </cfRule>
    <cfRule type="containsText" dxfId="7757" priority="10038" operator="containsText" text="$H$8">
      <formula>NOT(ISERROR(SEARCH($H$8,B150)))</formula>
      <formula>$H$8</formula>
    </cfRule>
    <cfRule type="containsText" dxfId="7756" priority="10037" operator="containsText" text="$H$9">
      <formula>NOT(ISERROR(SEARCH($H$9,B150)))</formula>
      <formula>$H$9</formula>
    </cfRule>
    <cfRule type="containsText" dxfId="7755" priority="10036" operator="containsText" text="$H$10">
      <formula>NOT(ISERROR(SEARCH($H$10,B150)))</formula>
      <formula>$H$10</formula>
    </cfRule>
    <cfRule type="containsText" dxfId="7754" priority="10035" operator="containsText" text="$H$11">
      <formula>NOT(ISERROR(SEARCH($H$11,B150)))</formula>
      <formula>$H$11</formula>
    </cfRule>
    <cfRule type="containsText" dxfId="7753" priority="10034" operator="containsText" text="$H$12">
      <formula>NOT(ISERROR(SEARCH($H$12,B150)))</formula>
      <formula>$H$12</formula>
    </cfRule>
    <cfRule type="containsText" dxfId="7752" priority="10033" operator="containsText" text="$H$13">
      <formula>NOT(ISERROR(SEARCH($H$13,B150)))</formula>
      <formula>$H$13</formula>
    </cfRule>
  </conditionalFormatting>
  <conditionalFormatting sqref="D204:D211">
    <cfRule type="containsText" dxfId="7751" priority="9920" operator="containsText" text="$H$7">
      <formula>NOT(ISERROR(SEARCH($H$7,D204)))</formula>
      <formula>$H$7</formula>
    </cfRule>
    <cfRule type="containsText" dxfId="7750" priority="9919" operator="containsText" text="$H$8">
      <formula>NOT(ISERROR(SEARCH($H$8,D204)))</formula>
      <formula>$H$8</formula>
    </cfRule>
    <cfRule type="containsText" dxfId="7749" priority="9918" operator="containsText" text="$H$8">
      <formula>NOT(ISERROR(SEARCH($H$8,D204)))</formula>
      <formula>$H$8</formula>
    </cfRule>
    <cfRule type="containsText" dxfId="7748" priority="9917" operator="containsText" text="$H$9">
      <formula>NOT(ISERROR(SEARCH($H$9,D204)))</formula>
      <formula>$H$9</formula>
    </cfRule>
    <cfRule type="containsText" dxfId="7747" priority="9916" operator="containsText" text="$H$10">
      <formula>NOT(ISERROR(SEARCH($H$10,D204)))</formula>
      <formula>$H$10</formula>
    </cfRule>
    <cfRule type="containsText" dxfId="7746" priority="9915" operator="containsText" text="$H$11">
      <formula>NOT(ISERROR(SEARCH($H$11,D204)))</formula>
      <formula>$H$11</formula>
    </cfRule>
    <cfRule type="containsText" dxfId="7745" priority="9914" operator="containsText" text="$H$12">
      <formula>NOT(ISERROR(SEARCH($H$12,D204)))</formula>
      <formula>$H$12</formula>
    </cfRule>
    <cfRule type="containsText" dxfId="7744" priority="9913" operator="containsText" text="$H$13">
      <formula>NOT(ISERROR(SEARCH($H$13,D204)))</formula>
      <formula>$H$13</formula>
    </cfRule>
  </conditionalFormatting>
  <conditionalFormatting sqref="D212:D215">
    <cfRule type="containsText" dxfId="7743" priority="9912" operator="containsText" text="$H$7">
      <formula>NOT(ISERROR(SEARCH($H$7,D212)))</formula>
      <formula>$H$7</formula>
    </cfRule>
    <cfRule type="containsText" dxfId="7742" priority="9911" operator="containsText" text="$H$8">
      <formula>NOT(ISERROR(SEARCH($H$8,D212)))</formula>
      <formula>$H$8</formula>
    </cfRule>
    <cfRule type="containsText" dxfId="7741" priority="9910" operator="containsText" text="$H$8">
      <formula>NOT(ISERROR(SEARCH($H$8,D212)))</formula>
      <formula>$H$8</formula>
    </cfRule>
    <cfRule type="containsText" dxfId="7740" priority="9909" operator="containsText" text="$H$9">
      <formula>NOT(ISERROR(SEARCH($H$9,D212)))</formula>
      <formula>$H$9</formula>
    </cfRule>
    <cfRule type="containsText" dxfId="7739" priority="9908" operator="containsText" text="$H$10">
      <formula>NOT(ISERROR(SEARCH($H$10,D212)))</formula>
      <formula>$H$10</formula>
    </cfRule>
    <cfRule type="containsText" dxfId="7738" priority="9907" operator="containsText" text="$H$11">
      <formula>NOT(ISERROR(SEARCH($H$11,D212)))</formula>
      <formula>$H$11</formula>
    </cfRule>
    <cfRule type="containsText" dxfId="7737" priority="9906" operator="containsText" text="$H$12">
      <formula>NOT(ISERROR(SEARCH($H$12,D212)))</formula>
      <formula>$H$12</formula>
    </cfRule>
    <cfRule type="containsText" dxfId="7736" priority="9905" operator="containsText" text="$H$13">
      <formula>NOT(ISERROR(SEARCH($H$13,D212)))</formula>
      <formula>$H$13</formula>
    </cfRule>
  </conditionalFormatting>
  <conditionalFormatting sqref="B194:B201">
    <cfRule type="containsText" dxfId="7735" priority="9952" operator="containsText" text="$H$7">
      <formula>NOT(ISERROR(SEARCH($H$7,B194)))</formula>
      <formula>$H$7</formula>
    </cfRule>
    <cfRule type="containsText" dxfId="7734" priority="9951" operator="containsText" text="$H$8">
      <formula>NOT(ISERROR(SEARCH($H$8,B194)))</formula>
      <formula>$H$8</formula>
    </cfRule>
    <cfRule type="containsText" dxfId="7733" priority="9950" operator="containsText" text="$H$8">
      <formula>NOT(ISERROR(SEARCH($H$8,B194)))</formula>
      <formula>$H$8</formula>
    </cfRule>
    <cfRule type="containsText" dxfId="7732" priority="9949" operator="containsText" text="$H$9">
      <formula>NOT(ISERROR(SEARCH($H$9,B194)))</formula>
      <formula>$H$9</formula>
    </cfRule>
    <cfRule type="containsText" dxfId="7731" priority="9948" operator="containsText" text="$H$10">
      <formula>NOT(ISERROR(SEARCH($H$10,B194)))</formula>
      <formula>$H$10</formula>
    </cfRule>
    <cfRule type="containsText" dxfId="7730" priority="9947" operator="containsText" text="$H$11">
      <formula>NOT(ISERROR(SEARCH($H$11,B194)))</formula>
      <formula>$H$11</formula>
    </cfRule>
    <cfRule type="containsText" dxfId="7729" priority="9946" operator="containsText" text="$H$12">
      <formula>NOT(ISERROR(SEARCH($H$12,B194)))</formula>
      <formula>$H$12</formula>
    </cfRule>
    <cfRule type="containsText" dxfId="7728" priority="9945" operator="containsText" text="$H$13">
      <formula>NOT(ISERROR(SEARCH($H$13,B194)))</formula>
      <formula>$H$13</formula>
    </cfRule>
  </conditionalFormatting>
  <conditionalFormatting sqref="E186:E193">
    <cfRule type="containsText" dxfId="7727" priority="9944" operator="containsText" text="$H$7">
      <formula>NOT(ISERROR(SEARCH($H$7,E186)))</formula>
      <formula>$H$7</formula>
    </cfRule>
    <cfRule type="containsText" dxfId="7726" priority="9943" operator="containsText" text="$H$8">
      <formula>NOT(ISERROR(SEARCH($H$8,E186)))</formula>
      <formula>$H$8</formula>
    </cfRule>
    <cfRule type="containsText" dxfId="7725" priority="9942" operator="containsText" text="$H$8">
      <formula>NOT(ISERROR(SEARCH($H$8,E186)))</formula>
      <formula>$H$8</formula>
    </cfRule>
    <cfRule type="containsText" dxfId="7724" priority="9941" operator="containsText" text="$H$9">
      <formula>NOT(ISERROR(SEARCH($H$9,E186)))</formula>
      <formula>$H$9</formula>
    </cfRule>
    <cfRule type="containsText" dxfId="7723" priority="9940" operator="containsText" text="$H$10">
      <formula>NOT(ISERROR(SEARCH($H$10,E186)))</formula>
      <formula>$H$10</formula>
    </cfRule>
    <cfRule type="containsText" dxfId="7722" priority="9939" operator="containsText" text="$H$11">
      <formula>NOT(ISERROR(SEARCH($H$11,E186)))</formula>
      <formula>$H$11</formula>
    </cfRule>
    <cfRule type="containsText" dxfId="7721" priority="9938" operator="containsText" text="$H$12">
      <formula>NOT(ISERROR(SEARCH($H$12,E186)))</formula>
      <formula>$H$12</formula>
    </cfRule>
    <cfRule type="containsText" dxfId="7720" priority="9937" operator="containsText" text="$H$13">
      <formula>NOT(ISERROR(SEARCH($H$13,E186)))</formula>
      <formula>$H$13</formula>
    </cfRule>
  </conditionalFormatting>
  <conditionalFormatting sqref="B187:B193">
    <cfRule type="containsText" dxfId="7719" priority="9968" operator="containsText" text="=">
      <formula>"="</formula>
      <formula>$H$7</formula>
    </cfRule>
    <cfRule type="containsText" dxfId="7718" priority="9967" operator="containsText" text="=">
      <formula>"="</formula>
      <formula>$H$8</formula>
    </cfRule>
    <cfRule type="containsText" dxfId="7717" priority="9966" operator="containsText" text="=">
      <formula>"="</formula>
      <formula>$H$8</formula>
    </cfRule>
    <cfRule type="containsText" dxfId="7716" priority="9965" operator="containsText" text="=">
      <formula>"="</formula>
      <formula>$H$9</formula>
    </cfRule>
    <cfRule type="containsText" dxfId="7715" priority="9964" operator="containsText" text="=">
      <formula>"="</formula>
      <formula>$H$10</formula>
    </cfRule>
    <cfRule type="containsText" dxfId="7714" priority="9963" operator="containsText" text="=">
      <formula>"="</formula>
      <formula>$H$11</formula>
    </cfRule>
    <cfRule type="containsText" dxfId="7713" priority="9962" operator="containsText" text="=">
      <formula>"="</formula>
      <formula>$H$12</formula>
    </cfRule>
    <cfRule type="containsText" dxfId="7712" priority="9961" operator="containsText" text="=">
      <formula>"="</formula>
      <formula>$H$13</formula>
    </cfRule>
  </conditionalFormatting>
  <conditionalFormatting sqref="E151 E153 E155 E157">
    <cfRule type="containsText" dxfId="7711" priority="10008" operator="containsText" text="=">
      <formula>"="</formula>
      <formula>$H$7</formula>
    </cfRule>
    <cfRule type="containsText" dxfId="7710" priority="10007" operator="containsText" text="=">
      <formula>"="</formula>
      <formula>$H$8</formula>
    </cfRule>
    <cfRule type="containsText" dxfId="7709" priority="10006" operator="containsText" text="=">
      <formula>"="</formula>
      <formula>$H$8</formula>
    </cfRule>
    <cfRule type="containsText" dxfId="7708" priority="10005" operator="containsText" text="=">
      <formula>"="</formula>
      <formula>$H$9</formula>
    </cfRule>
    <cfRule type="containsText" dxfId="7707" priority="10004" operator="containsText" text="=">
      <formula>"="</formula>
      <formula>$H$10</formula>
    </cfRule>
    <cfRule type="containsText" dxfId="7706" priority="10003" operator="containsText" text="=">
      <formula>"="</formula>
      <formula>$H$11</formula>
    </cfRule>
    <cfRule type="containsText" dxfId="7705" priority="10002" operator="containsText" text="=">
      <formula>"="</formula>
      <formula>$H$12</formula>
    </cfRule>
    <cfRule type="containsText" dxfId="7704" priority="10001" operator="containsText" text="=">
      <formula>"="</formula>
      <formula>$H$13</formula>
    </cfRule>
  </conditionalFormatting>
  <conditionalFormatting sqref="F169 F171">
    <cfRule type="containsText" dxfId="7703" priority="9992" operator="containsText" text="=">
      <formula>"="</formula>
      <formula>$H$7</formula>
    </cfRule>
    <cfRule type="containsText" dxfId="7702" priority="9991" operator="containsText" text="=">
      <formula>"="</formula>
      <formula>$H$8</formula>
    </cfRule>
    <cfRule type="containsText" dxfId="7701" priority="9990" operator="containsText" text="=">
      <formula>"="</formula>
      <formula>$H$8</formula>
    </cfRule>
    <cfRule type="containsText" dxfId="7700" priority="9989" operator="containsText" text="=">
      <formula>"="</formula>
      <formula>$H$9</formula>
    </cfRule>
    <cfRule type="containsText" dxfId="7699" priority="9988" operator="containsText" text="=">
      <formula>"="</formula>
      <formula>$H$10</formula>
    </cfRule>
    <cfRule type="containsText" dxfId="7698" priority="9987" operator="containsText" text="=">
      <formula>"="</formula>
      <formula>$H$11</formula>
    </cfRule>
    <cfRule type="containsText" dxfId="7697" priority="9986" operator="containsText" text="=">
      <formula>"="</formula>
      <formula>$H$12</formula>
    </cfRule>
    <cfRule type="containsText" dxfId="7696" priority="9985" operator="containsText" text="=">
      <formula>"="</formula>
      <formula>$H$13</formula>
    </cfRule>
  </conditionalFormatting>
  <conditionalFormatting sqref="F176:F183">
    <cfRule type="containsText" dxfId="7695" priority="9984" operator="containsText" text="$H$7">
      <formula>NOT(ISERROR(SEARCH($H$7,F176)))</formula>
      <formula>$H$7</formula>
    </cfRule>
    <cfRule type="containsText" dxfId="7694" priority="9983" operator="containsText" text="$H$8">
      <formula>NOT(ISERROR(SEARCH($H$8,F176)))</formula>
      <formula>$H$8</formula>
    </cfRule>
    <cfRule type="containsText" dxfId="7693" priority="9982" operator="containsText" text="$H$8">
      <formula>NOT(ISERROR(SEARCH($H$8,F176)))</formula>
      <formula>$H$8</formula>
    </cfRule>
    <cfRule type="containsText" dxfId="7692" priority="9981" operator="containsText" text="$H$9">
      <formula>NOT(ISERROR(SEARCH($H$9,F176)))</formula>
      <formula>$H$9</formula>
    </cfRule>
    <cfRule type="containsText" dxfId="7691" priority="9980" operator="containsText" text="$H$10">
      <formula>NOT(ISERROR(SEARCH($H$10,F176)))</formula>
      <formula>$H$10</formula>
    </cfRule>
    <cfRule type="containsText" dxfId="7690" priority="9979" operator="containsText" text="$H$11">
      <formula>NOT(ISERROR(SEARCH($H$11,F176)))</formula>
      <formula>$H$11</formula>
    </cfRule>
    <cfRule type="containsText" dxfId="7689" priority="9978" operator="containsText" text="$H$12">
      <formula>NOT(ISERROR(SEARCH($H$12,F176)))</formula>
      <formula>$H$12</formula>
    </cfRule>
    <cfRule type="containsText" dxfId="7688" priority="9977" operator="containsText" text="$H$13">
      <formula>NOT(ISERROR(SEARCH($H$13,F176)))</formula>
      <formula>$H$13</formula>
    </cfRule>
  </conditionalFormatting>
  <conditionalFormatting sqref="F176:F183">
    <cfRule type="containsText" dxfId="7687" priority="9976" operator="containsText" text="$H$7">
      <formula>NOT(ISERROR(SEARCH($H$7,F176)))</formula>
      <formula>$H$7</formula>
    </cfRule>
    <cfRule type="containsText" dxfId="7686" priority="9975" operator="containsText" text="$H$8">
      <formula>NOT(ISERROR(SEARCH($H$8,F176)))</formula>
      <formula>$H$8</formula>
    </cfRule>
    <cfRule type="containsText" dxfId="7685" priority="9974" operator="containsText" text="$H$8">
      <formula>NOT(ISERROR(SEARCH($H$8,F176)))</formula>
      <formula>$H$8</formula>
    </cfRule>
    <cfRule type="containsText" dxfId="7684" priority="9973" operator="containsText" text="$H$9">
      <formula>NOT(ISERROR(SEARCH($H$9,F176)))</formula>
      <formula>$H$9</formula>
    </cfRule>
    <cfRule type="containsText" dxfId="7683" priority="9972" operator="containsText" text="$H$10">
      <formula>NOT(ISERROR(SEARCH($H$10,F176)))</formula>
      <formula>$H$10</formula>
    </cfRule>
    <cfRule type="containsText" dxfId="7682" priority="9971" operator="containsText" text="$H$11">
      <formula>NOT(ISERROR(SEARCH($H$11,F176)))</formula>
      <formula>$H$11</formula>
    </cfRule>
    <cfRule type="containsText" dxfId="7681" priority="9970" operator="containsText" text="$H$12">
      <formula>NOT(ISERROR(SEARCH($H$12,F176)))</formula>
      <formula>$H$12</formula>
    </cfRule>
    <cfRule type="containsText" dxfId="7680" priority="9969" operator="containsText" text="$H$13">
      <formula>NOT(ISERROR(SEARCH($H$13,F176)))</formula>
      <formula>$H$13</formula>
    </cfRule>
  </conditionalFormatting>
  <conditionalFormatting sqref="B187:B193">
    <cfRule type="containsText" dxfId="7679" priority="9960" operator="containsText" text="=">
      <formula>"="</formula>
      <formula>$H$7</formula>
    </cfRule>
    <cfRule type="containsText" dxfId="7678" priority="9959" operator="containsText" text="=">
      <formula>"="</formula>
      <formula>$H$8</formula>
    </cfRule>
    <cfRule type="containsText" dxfId="7677" priority="9958" operator="containsText" text="=">
      <formula>"="</formula>
      <formula>$H$8</formula>
    </cfRule>
    <cfRule type="containsText" dxfId="7676" priority="9957" operator="containsText" text="=">
      <formula>"="</formula>
      <formula>$H$9</formula>
    </cfRule>
    <cfRule type="containsText" dxfId="7675" priority="9956" operator="containsText" text="=">
      <formula>"="</formula>
      <formula>$H$10</formula>
    </cfRule>
    <cfRule type="containsText" dxfId="7674" priority="9955" operator="containsText" text="=">
      <formula>"="</formula>
      <formula>$H$11</formula>
    </cfRule>
    <cfRule type="containsText" dxfId="7673" priority="9954" operator="containsText" text="=">
      <formula>"="</formula>
      <formula>$H$12</formula>
    </cfRule>
    <cfRule type="containsText" dxfId="7672" priority="9953" operator="containsText" text="=">
      <formula>"="</formula>
      <formula>$H$13</formula>
    </cfRule>
  </conditionalFormatting>
  <conditionalFormatting sqref="E68:E75">
    <cfRule type="containsText" dxfId="7671" priority="9896" operator="containsText" text="$H$7">
      <formula>NOT(ISERROR(SEARCH($H$7,E68)))</formula>
      <formula>$H$7</formula>
    </cfRule>
    <cfRule type="containsText" dxfId="7670" priority="9895" operator="containsText" text="$H$8">
      <formula>NOT(ISERROR(SEARCH($H$8,E68)))</formula>
      <formula>$H$8</formula>
    </cfRule>
    <cfRule type="containsText" dxfId="7669" priority="9894" operator="containsText" text="$H$8">
      <formula>NOT(ISERROR(SEARCH($H$8,E68)))</formula>
      <formula>$H$8</formula>
    </cfRule>
    <cfRule type="containsText" dxfId="7668" priority="9893" operator="containsText" text="$H$9">
      <formula>NOT(ISERROR(SEARCH($H$9,E68)))</formula>
      <formula>$H$9</formula>
    </cfRule>
    <cfRule type="containsText" dxfId="7667" priority="9892" operator="containsText" text="$H$10">
      <formula>NOT(ISERROR(SEARCH($H$10,E68)))</formula>
      <formula>$H$10</formula>
    </cfRule>
    <cfRule type="containsText" dxfId="7666" priority="9891" operator="containsText" text="$H$11">
      <formula>NOT(ISERROR(SEARCH($H$11,E68)))</formula>
      <formula>$H$11</formula>
    </cfRule>
    <cfRule type="containsText" dxfId="7665" priority="9890" operator="containsText" text="$H$12">
      <formula>NOT(ISERROR(SEARCH($H$12,E68)))</formula>
      <formula>$H$12</formula>
    </cfRule>
    <cfRule type="containsText" dxfId="7664" priority="9889" operator="containsText" text="$H$13">
      <formula>NOT(ISERROR(SEARCH($H$13,E68)))</formula>
      <formula>$H$13</formula>
    </cfRule>
  </conditionalFormatting>
  <conditionalFormatting sqref="D78:D85">
    <cfRule type="containsText" dxfId="7663" priority="9888" operator="containsText" text="$H$7">
      <formula>NOT(ISERROR(SEARCH($H$7,D78)))</formula>
      <formula>$H$7</formula>
    </cfRule>
    <cfRule type="containsText" dxfId="7662" priority="9887" operator="containsText" text="$H$8">
      <formula>NOT(ISERROR(SEARCH($H$8,D78)))</formula>
      <formula>$H$8</formula>
    </cfRule>
    <cfRule type="containsText" dxfId="7661" priority="9886" operator="containsText" text="$H$8">
      <formula>NOT(ISERROR(SEARCH($H$8,D78)))</formula>
      <formula>$H$8</formula>
    </cfRule>
    <cfRule type="containsText" dxfId="7660" priority="9885" operator="containsText" text="$H$9">
      <formula>NOT(ISERROR(SEARCH($H$9,D78)))</formula>
      <formula>$H$9</formula>
    </cfRule>
    <cfRule type="containsText" dxfId="7659" priority="9884" operator="containsText" text="$H$10">
      <formula>NOT(ISERROR(SEARCH($H$10,D78)))</formula>
      <formula>$H$10</formula>
    </cfRule>
    <cfRule type="containsText" dxfId="7658" priority="9883" operator="containsText" text="$H$11">
      <formula>NOT(ISERROR(SEARCH($H$11,D78)))</formula>
      <formula>$H$11</formula>
    </cfRule>
    <cfRule type="containsText" dxfId="7657" priority="9882" operator="containsText" text="$H$12">
      <formula>NOT(ISERROR(SEARCH($H$12,D78)))</formula>
      <formula>$H$12</formula>
    </cfRule>
    <cfRule type="containsText" dxfId="7656" priority="9881" operator="containsText" text="$H$13">
      <formula>NOT(ISERROR(SEARCH($H$13,D78)))</formula>
      <formula>$H$13</formula>
    </cfRule>
  </conditionalFormatting>
  <conditionalFormatting sqref="D86:D93">
    <cfRule type="containsText" dxfId="7655" priority="9880" operator="containsText" text="$H$7">
      <formula>NOT(ISERROR(SEARCH($H$7,D86)))</formula>
      <formula>$H$7</formula>
    </cfRule>
    <cfRule type="containsText" dxfId="7654" priority="9879" operator="containsText" text="$H$8">
      <formula>NOT(ISERROR(SEARCH($H$8,D86)))</formula>
      <formula>$H$8</formula>
    </cfRule>
    <cfRule type="containsText" dxfId="7653" priority="9878" operator="containsText" text="$H$8">
      <formula>NOT(ISERROR(SEARCH($H$8,D86)))</formula>
      <formula>$H$8</formula>
    </cfRule>
    <cfRule type="containsText" dxfId="7652" priority="9877" operator="containsText" text="$H$9">
      <formula>NOT(ISERROR(SEARCH($H$9,D86)))</formula>
      <formula>$H$9</formula>
    </cfRule>
    <cfRule type="containsText" dxfId="7651" priority="9876" operator="containsText" text="$H$10">
      <formula>NOT(ISERROR(SEARCH($H$10,D86)))</formula>
      <formula>$H$10</formula>
    </cfRule>
    <cfRule type="containsText" dxfId="7650" priority="9875" operator="containsText" text="$H$11">
      <formula>NOT(ISERROR(SEARCH($H$11,D86)))</formula>
      <formula>$H$11</formula>
    </cfRule>
    <cfRule type="containsText" dxfId="7649" priority="9874" operator="containsText" text="$H$12">
      <formula>NOT(ISERROR(SEARCH($H$12,D86)))</formula>
      <formula>$H$12</formula>
    </cfRule>
    <cfRule type="containsText" dxfId="7648" priority="9873" operator="containsText" text="$H$13">
      <formula>NOT(ISERROR(SEARCH($H$13,D86)))</formula>
      <formula>$H$13</formula>
    </cfRule>
  </conditionalFormatting>
  <conditionalFormatting sqref="B105 B107 B109 B111">
    <cfRule type="containsText" dxfId="7647" priority="9872" operator="containsText" text="=">
      <formula>"="</formula>
      <formula>$H$7</formula>
    </cfRule>
    <cfRule type="containsText" dxfId="7646" priority="9871" operator="containsText" text="=">
      <formula>"="</formula>
      <formula>$H$8</formula>
    </cfRule>
    <cfRule type="containsText" dxfId="7645" priority="9870" operator="containsText" text="=">
      <formula>"="</formula>
      <formula>$H$8</formula>
    </cfRule>
    <cfRule type="containsText" dxfId="7644" priority="9869" operator="containsText" text="=">
      <formula>"="</formula>
      <formula>$H$9</formula>
    </cfRule>
    <cfRule type="containsText" dxfId="7643" priority="9868" operator="containsText" text="=">
      <formula>"="</formula>
      <formula>$H$10</formula>
    </cfRule>
    <cfRule type="containsText" dxfId="7642" priority="9867" operator="containsText" text="=">
      <formula>"="</formula>
      <formula>$H$11</formula>
    </cfRule>
    <cfRule type="containsText" dxfId="7641" priority="9866" operator="containsText" text="=">
      <formula>"="</formula>
      <formula>$H$12</formula>
    </cfRule>
    <cfRule type="containsText" dxfId="7640" priority="9865" operator="containsText" text="=">
      <formula>"="</formula>
      <formula>$H$13</formula>
    </cfRule>
  </conditionalFormatting>
  <conditionalFormatting sqref="C86:C93">
    <cfRule type="containsText" dxfId="7639" priority="9856" operator="containsText" text="$H$7">
      <formula>NOT(ISERROR(SEARCH($H$7,C86)))</formula>
      <formula>$H$7</formula>
    </cfRule>
    <cfRule type="containsText" dxfId="7638" priority="9855" operator="containsText" text="$H$8">
      <formula>NOT(ISERROR(SEARCH($H$8,C86)))</formula>
      <formula>$H$8</formula>
    </cfRule>
    <cfRule type="containsText" dxfId="7637" priority="9854" operator="containsText" text="$H$8">
      <formula>NOT(ISERROR(SEARCH($H$8,C86)))</formula>
      <formula>$H$8</formula>
    </cfRule>
    <cfRule type="containsText" dxfId="7636" priority="9853" operator="containsText" text="$H$9">
      <formula>NOT(ISERROR(SEARCH($H$9,C86)))</formula>
      <formula>$H$9</formula>
    </cfRule>
    <cfRule type="containsText" dxfId="7635" priority="9852" operator="containsText" text="$H$10">
      <formula>NOT(ISERROR(SEARCH($H$10,C86)))</formula>
      <formula>$H$10</formula>
    </cfRule>
    <cfRule type="containsText" dxfId="7634" priority="9851" operator="containsText" text="$H$11">
      <formula>NOT(ISERROR(SEARCH($H$11,C86)))</formula>
      <formula>$H$11</formula>
    </cfRule>
    <cfRule type="containsText" dxfId="7633" priority="9850" operator="containsText" text="$H$12">
      <formula>NOT(ISERROR(SEARCH($H$12,C86)))</formula>
      <formula>$H$12</formula>
    </cfRule>
    <cfRule type="containsText" dxfId="7632" priority="9849" operator="containsText" text="$H$13">
      <formula>NOT(ISERROR(SEARCH($H$13,C86)))</formula>
      <formula>$H$13</formula>
    </cfRule>
  </conditionalFormatting>
  <conditionalFormatting sqref="C78:C85">
    <cfRule type="containsText" dxfId="7631" priority="9848" operator="containsText" text="$H$7">
      <formula>NOT(ISERROR(SEARCH($H$7,C78)))</formula>
      <formula>$H$7</formula>
    </cfRule>
    <cfRule type="containsText" dxfId="7630" priority="9847" operator="containsText" text="$H$8">
      <formula>NOT(ISERROR(SEARCH($H$8,C78)))</formula>
      <formula>$H$8</formula>
    </cfRule>
    <cfRule type="containsText" dxfId="7629" priority="9846" operator="containsText" text="$H$8">
      <formula>NOT(ISERROR(SEARCH($H$8,C78)))</formula>
      <formula>$H$8</formula>
    </cfRule>
    <cfRule type="containsText" dxfId="7628" priority="9845" operator="containsText" text="$H$9">
      <formula>NOT(ISERROR(SEARCH($H$9,C78)))</formula>
      <formula>$H$9</formula>
    </cfRule>
    <cfRule type="containsText" dxfId="7627" priority="9844" operator="containsText" text="$H$10">
      <formula>NOT(ISERROR(SEARCH($H$10,C78)))</formula>
      <formula>$H$10</formula>
    </cfRule>
    <cfRule type="containsText" dxfId="7626" priority="9843" operator="containsText" text="$H$11">
      <formula>NOT(ISERROR(SEARCH($H$11,C78)))</formula>
      <formula>$H$11</formula>
    </cfRule>
    <cfRule type="containsText" dxfId="7625" priority="9842" operator="containsText" text="$H$12">
      <formula>NOT(ISERROR(SEARCH($H$12,C78)))</formula>
      <formula>$H$12</formula>
    </cfRule>
    <cfRule type="containsText" dxfId="7624" priority="9841" operator="containsText" text="$H$13">
      <formula>NOT(ISERROR(SEARCH($H$13,C78)))</formula>
      <formula>$H$13</formula>
    </cfRule>
  </conditionalFormatting>
  <conditionalFormatting sqref="E86:E93">
    <cfRule type="containsText" dxfId="7623" priority="9840" operator="containsText" text="$H$7">
      <formula>NOT(ISERROR(SEARCH($H$7,E86)))</formula>
      <formula>$H$7</formula>
    </cfRule>
    <cfRule type="containsText" dxfId="7622" priority="9839" operator="containsText" text="$H$8">
      <formula>NOT(ISERROR(SEARCH($H$8,E86)))</formula>
      <formula>$H$8</formula>
    </cfRule>
    <cfRule type="containsText" dxfId="7621" priority="9838" operator="containsText" text="$H$8">
      <formula>NOT(ISERROR(SEARCH($H$8,E86)))</formula>
      <formula>$H$8</formula>
    </cfRule>
    <cfRule type="containsText" dxfId="7620" priority="9837" operator="containsText" text="$H$9">
      <formula>NOT(ISERROR(SEARCH($H$9,E86)))</formula>
      <formula>$H$9</formula>
    </cfRule>
    <cfRule type="containsText" dxfId="7619" priority="9836" operator="containsText" text="$H$10">
      <formula>NOT(ISERROR(SEARCH($H$10,E86)))</formula>
      <formula>$H$10</formula>
    </cfRule>
    <cfRule type="containsText" dxfId="7618" priority="9835" operator="containsText" text="$H$11">
      <formula>NOT(ISERROR(SEARCH($H$11,E86)))</formula>
      <formula>$H$11</formula>
    </cfRule>
    <cfRule type="containsText" dxfId="7617" priority="9834" operator="containsText" text="$H$12">
      <formula>NOT(ISERROR(SEARCH($H$12,E86)))</formula>
      <formula>$H$12</formula>
    </cfRule>
    <cfRule type="containsText" dxfId="7616" priority="9833" operator="containsText" text="$H$13">
      <formula>NOT(ISERROR(SEARCH($H$13,E86)))</formula>
      <formula>$H$13</formula>
    </cfRule>
  </conditionalFormatting>
  <conditionalFormatting sqref="E78:E85">
    <cfRule type="containsText" dxfId="7615" priority="9832" operator="containsText" text="$H$7">
      <formula>NOT(ISERROR(SEARCH($H$7,E78)))</formula>
      <formula>$H$7</formula>
    </cfRule>
    <cfRule type="containsText" dxfId="7614" priority="9831" operator="containsText" text="$H$8">
      <formula>NOT(ISERROR(SEARCH($H$8,E78)))</formula>
      <formula>$H$8</formula>
    </cfRule>
    <cfRule type="containsText" dxfId="7613" priority="9830" operator="containsText" text="$H$8">
      <formula>NOT(ISERROR(SEARCH($H$8,E78)))</formula>
      <formula>$H$8</formula>
    </cfRule>
    <cfRule type="containsText" dxfId="7612" priority="9829" operator="containsText" text="$H$9">
      <formula>NOT(ISERROR(SEARCH($H$9,E78)))</formula>
      <formula>$H$9</formula>
    </cfRule>
    <cfRule type="containsText" dxfId="7611" priority="9828" operator="containsText" text="$H$10">
      <formula>NOT(ISERROR(SEARCH($H$10,E78)))</formula>
      <formula>$H$10</formula>
    </cfRule>
    <cfRule type="containsText" dxfId="7610" priority="9827" operator="containsText" text="$H$11">
      <formula>NOT(ISERROR(SEARCH($H$11,E78)))</formula>
      <formula>$H$11</formula>
    </cfRule>
    <cfRule type="containsText" dxfId="7609" priority="9826" operator="containsText" text="$H$12">
      <formula>NOT(ISERROR(SEARCH($H$12,E78)))</formula>
      <formula>$H$12</formula>
    </cfRule>
    <cfRule type="containsText" dxfId="7608" priority="9825" operator="containsText" text="$H$13">
      <formula>NOT(ISERROR(SEARCH($H$13,E78)))</formula>
      <formula>$H$13</formula>
    </cfRule>
  </conditionalFormatting>
  <conditionalFormatting sqref="B96:B103">
    <cfRule type="containsText" dxfId="7607" priority="9824" operator="containsText" text="$H$7">
      <formula>NOT(ISERROR(SEARCH($H$7,B96)))</formula>
      <formula>$H$7</formula>
    </cfRule>
    <cfRule type="containsText" dxfId="7606" priority="9823" operator="containsText" text="$H$8">
      <formula>NOT(ISERROR(SEARCH($H$8,B96)))</formula>
      <formula>$H$8</formula>
    </cfRule>
    <cfRule type="containsText" dxfId="7605" priority="9822" operator="containsText" text="$H$8">
      <formula>NOT(ISERROR(SEARCH($H$8,B96)))</formula>
      <formula>$H$8</formula>
    </cfRule>
    <cfRule type="containsText" dxfId="7604" priority="9821" operator="containsText" text="$H$9">
      <formula>NOT(ISERROR(SEARCH($H$9,B96)))</formula>
      <formula>$H$9</formula>
    </cfRule>
    <cfRule type="containsText" dxfId="7603" priority="9820" operator="containsText" text="$H$10">
      <formula>NOT(ISERROR(SEARCH($H$10,B96)))</formula>
      <formula>$H$10</formula>
    </cfRule>
    <cfRule type="containsText" dxfId="7602" priority="9819" operator="containsText" text="$H$11">
      <formula>NOT(ISERROR(SEARCH($H$11,B96)))</formula>
      <formula>$H$11</formula>
    </cfRule>
    <cfRule type="containsText" dxfId="7601" priority="9818" operator="containsText" text="$H$12">
      <formula>NOT(ISERROR(SEARCH($H$12,B96)))</formula>
      <formula>$H$12</formula>
    </cfRule>
    <cfRule type="containsText" dxfId="7600" priority="9817" operator="containsText" text="$H$13">
      <formula>NOT(ISERROR(SEARCH($H$13,B96)))</formula>
      <formula>$H$13</formula>
    </cfRule>
  </conditionalFormatting>
  <conditionalFormatting sqref="B96:B103">
    <cfRule type="containsText" dxfId="7599" priority="9816" operator="containsText" text="$H$7">
      <formula>NOT(ISERROR(SEARCH($H$7,B96)))</formula>
      <formula>$H$7</formula>
    </cfRule>
    <cfRule type="containsText" dxfId="7598" priority="9815" operator="containsText" text="$H$8">
      <formula>NOT(ISERROR(SEARCH($H$8,B96)))</formula>
      <formula>$H$8</formula>
    </cfRule>
    <cfRule type="containsText" dxfId="7597" priority="9814" operator="containsText" text="$H$8">
      <formula>NOT(ISERROR(SEARCH($H$8,B96)))</formula>
      <formula>$H$8</formula>
    </cfRule>
    <cfRule type="containsText" dxfId="7596" priority="9813" operator="containsText" text="$H$9">
      <formula>NOT(ISERROR(SEARCH($H$9,B96)))</formula>
      <formula>$H$9</formula>
    </cfRule>
    <cfRule type="containsText" dxfId="7595" priority="9812" operator="containsText" text="$H$10">
      <formula>NOT(ISERROR(SEARCH($H$10,B96)))</formula>
      <formula>$H$10</formula>
    </cfRule>
    <cfRule type="containsText" dxfId="7594" priority="9811" operator="containsText" text="$H$11">
      <formula>NOT(ISERROR(SEARCH($H$11,B96)))</formula>
      <formula>$H$11</formula>
    </cfRule>
    <cfRule type="containsText" dxfId="7593" priority="9810" operator="containsText" text="$H$12">
      <formula>NOT(ISERROR(SEARCH($H$12,B96)))</formula>
      <formula>$H$12</formula>
    </cfRule>
    <cfRule type="containsText" dxfId="7592" priority="9809" operator="containsText" text="$H$13">
      <formula>NOT(ISERROR(SEARCH($H$13,B96)))</formula>
      <formula>$H$13</formula>
    </cfRule>
  </conditionalFormatting>
  <conditionalFormatting sqref="C105 C107 C109 C111">
    <cfRule type="containsText" dxfId="7591" priority="9808" operator="containsText" text="=">
      <formula>"="</formula>
      <formula>$H$7</formula>
    </cfRule>
    <cfRule type="containsText" dxfId="7590" priority="9807" operator="containsText" text="=">
      <formula>"="</formula>
      <formula>$H$8</formula>
    </cfRule>
    <cfRule type="containsText" dxfId="7589" priority="9806" operator="containsText" text="=">
      <formula>"="</formula>
      <formula>$H$8</formula>
    </cfRule>
    <cfRule type="containsText" dxfId="7588" priority="9805" operator="containsText" text="=">
      <formula>"="</formula>
      <formula>$H$9</formula>
    </cfRule>
    <cfRule type="containsText" dxfId="7587" priority="9804" operator="containsText" text="=">
      <formula>"="</formula>
      <formula>$H$10</formula>
    </cfRule>
    <cfRule type="containsText" dxfId="7586" priority="9803" operator="containsText" text="=">
      <formula>"="</formula>
      <formula>$H$11</formula>
    </cfRule>
    <cfRule type="containsText" dxfId="7585" priority="9802" operator="containsText" text="=">
      <formula>"="</formula>
      <formula>$H$12</formula>
    </cfRule>
    <cfRule type="containsText" dxfId="7584" priority="9801" operator="containsText" text="=">
      <formula>"="</formula>
      <formula>$H$13</formula>
    </cfRule>
  </conditionalFormatting>
  <conditionalFormatting sqref="C96:C103">
    <cfRule type="containsText" dxfId="7583" priority="9800" operator="containsText" text="$H$7">
      <formula>NOT(ISERROR(SEARCH($H$7,C96)))</formula>
      <formula>$H$7</formula>
    </cfRule>
    <cfRule type="containsText" dxfId="7582" priority="9799" operator="containsText" text="$H$8">
      <formula>NOT(ISERROR(SEARCH($H$8,C96)))</formula>
      <formula>$H$8</formula>
    </cfRule>
    <cfRule type="containsText" dxfId="7581" priority="9798" operator="containsText" text="$H$8">
      <formula>NOT(ISERROR(SEARCH($H$8,C96)))</formula>
      <formula>$H$8</formula>
    </cfRule>
    <cfRule type="containsText" dxfId="7580" priority="9797" operator="containsText" text="$H$9">
      <formula>NOT(ISERROR(SEARCH($H$9,C96)))</formula>
      <formula>$H$9</formula>
    </cfRule>
    <cfRule type="containsText" dxfId="7579" priority="9796" operator="containsText" text="$H$10">
      <formula>NOT(ISERROR(SEARCH($H$10,C96)))</formula>
      <formula>$H$10</formula>
    </cfRule>
    <cfRule type="containsText" dxfId="7578" priority="9795" operator="containsText" text="$H$11">
      <formula>NOT(ISERROR(SEARCH($H$11,C96)))</formula>
      <formula>$H$11</formula>
    </cfRule>
    <cfRule type="containsText" dxfId="7577" priority="9794" operator="containsText" text="$H$12">
      <formula>NOT(ISERROR(SEARCH($H$12,C96)))</formula>
      <formula>$H$12</formula>
    </cfRule>
    <cfRule type="containsText" dxfId="7576" priority="9793" operator="containsText" text="$H$13">
      <formula>NOT(ISERROR(SEARCH($H$13,C96)))</formula>
      <formula>$H$13</formula>
    </cfRule>
  </conditionalFormatting>
  <conditionalFormatting sqref="E96:E103">
    <cfRule type="containsText" dxfId="7575" priority="9792" operator="containsText" text="$H$7">
      <formula>NOT(ISERROR(SEARCH($H$7,E96)))</formula>
      <formula>$H$7</formula>
    </cfRule>
    <cfRule type="containsText" dxfId="7574" priority="9791" operator="containsText" text="$H$8">
      <formula>NOT(ISERROR(SEARCH($H$8,E96)))</formula>
      <formula>$H$8</formula>
    </cfRule>
    <cfRule type="containsText" dxfId="7573" priority="9790" operator="containsText" text="$H$8">
      <formula>NOT(ISERROR(SEARCH($H$8,E96)))</formula>
      <formula>$H$8</formula>
    </cfRule>
    <cfRule type="containsText" dxfId="7572" priority="9789" operator="containsText" text="$H$9">
      <formula>NOT(ISERROR(SEARCH($H$9,E96)))</formula>
      <formula>$H$9</formula>
    </cfRule>
    <cfRule type="containsText" dxfId="7571" priority="9788" operator="containsText" text="$H$10">
      <formula>NOT(ISERROR(SEARCH($H$10,E96)))</formula>
      <formula>$H$10</formula>
    </cfRule>
    <cfRule type="containsText" dxfId="7570" priority="9787" operator="containsText" text="$H$11">
      <formula>NOT(ISERROR(SEARCH($H$11,E96)))</formula>
      <formula>$H$11</formula>
    </cfRule>
    <cfRule type="containsText" dxfId="7569" priority="9786" operator="containsText" text="$H$12">
      <formula>NOT(ISERROR(SEARCH($H$12,E96)))</formula>
      <formula>$H$12</formula>
    </cfRule>
    <cfRule type="containsText" dxfId="7568" priority="9785" operator="containsText" text="$H$13">
      <formula>NOT(ISERROR(SEARCH($H$13,E96)))</formula>
      <formula>$H$13</formula>
    </cfRule>
  </conditionalFormatting>
  <conditionalFormatting sqref="C114:C121">
    <cfRule type="containsText" dxfId="7567" priority="9784" operator="containsText" text="$H$7">
      <formula>NOT(ISERROR(SEARCH($H$7,C114)))</formula>
      <formula>$H$7</formula>
    </cfRule>
    <cfRule type="containsText" dxfId="7566" priority="9783" operator="containsText" text="$H$8">
      <formula>NOT(ISERROR(SEARCH($H$8,C114)))</formula>
      <formula>$H$8</formula>
    </cfRule>
    <cfRule type="containsText" dxfId="7565" priority="9782" operator="containsText" text="$H$8">
      <formula>NOT(ISERROR(SEARCH($H$8,C114)))</formula>
      <formula>$H$8</formula>
    </cfRule>
    <cfRule type="containsText" dxfId="7564" priority="9781" operator="containsText" text="$H$9">
      <formula>NOT(ISERROR(SEARCH($H$9,C114)))</formula>
      <formula>$H$9</formula>
    </cfRule>
    <cfRule type="containsText" dxfId="7563" priority="9780" operator="containsText" text="$H$10">
      <formula>NOT(ISERROR(SEARCH($H$10,C114)))</formula>
      <formula>$H$10</formula>
    </cfRule>
    <cfRule type="containsText" dxfId="7562" priority="9779" operator="containsText" text="$H$11">
      <formula>NOT(ISERROR(SEARCH($H$11,C114)))</formula>
      <formula>$H$11</formula>
    </cfRule>
    <cfRule type="containsText" dxfId="7561" priority="9778" operator="containsText" text="$H$12">
      <formula>NOT(ISERROR(SEARCH($H$12,C114)))</formula>
      <formula>$H$12</formula>
    </cfRule>
    <cfRule type="containsText" dxfId="7560" priority="9777" operator="containsText" text="$H$13">
      <formula>NOT(ISERROR(SEARCH($H$13,C114)))</formula>
      <formula>$H$13</formula>
    </cfRule>
  </conditionalFormatting>
  <conditionalFormatting sqref="C114:C121">
    <cfRule type="containsText" dxfId="7559" priority="9776" operator="containsText" text="$H$7">
      <formula>NOT(ISERROR(SEARCH($H$7,C114)))</formula>
      <formula>$H$7</formula>
    </cfRule>
    <cfRule type="containsText" dxfId="7558" priority="9775" operator="containsText" text="$H$8">
      <formula>NOT(ISERROR(SEARCH($H$8,C114)))</formula>
      <formula>$H$8</formula>
    </cfRule>
    <cfRule type="containsText" dxfId="7557" priority="9774" operator="containsText" text="$H$8">
      <formula>NOT(ISERROR(SEARCH($H$8,C114)))</formula>
      <formula>$H$8</formula>
    </cfRule>
    <cfRule type="containsText" dxfId="7556" priority="9773" operator="containsText" text="$H$9">
      <formula>NOT(ISERROR(SEARCH($H$9,C114)))</formula>
      <formula>$H$9</formula>
    </cfRule>
    <cfRule type="containsText" dxfId="7555" priority="9772" operator="containsText" text="$H$10">
      <formula>NOT(ISERROR(SEARCH($H$10,C114)))</formula>
      <formula>$H$10</formula>
    </cfRule>
    <cfRule type="containsText" dxfId="7554" priority="9771" operator="containsText" text="$H$11">
      <formula>NOT(ISERROR(SEARCH($H$11,C114)))</formula>
      <formula>$H$11</formula>
    </cfRule>
    <cfRule type="containsText" dxfId="7553" priority="9770" operator="containsText" text="$H$12">
      <formula>NOT(ISERROR(SEARCH($H$12,C114)))</formula>
      <formula>$H$12</formula>
    </cfRule>
    <cfRule type="containsText" dxfId="7552" priority="9769" operator="containsText" text="$H$13">
      <formula>NOT(ISERROR(SEARCH($H$13,C114)))</formula>
      <formula>$H$13</formula>
    </cfRule>
  </conditionalFormatting>
  <conditionalFormatting sqref="C123 C125 C127 C129">
    <cfRule type="containsText" dxfId="7551" priority="9768" operator="containsText" text="=">
      <formula>"="</formula>
      <formula>$H$7</formula>
    </cfRule>
    <cfRule type="containsText" dxfId="7550" priority="9767" operator="containsText" text="=">
      <formula>"="</formula>
      <formula>$H$8</formula>
    </cfRule>
    <cfRule type="containsText" dxfId="7549" priority="9766" operator="containsText" text="=">
      <formula>"="</formula>
      <formula>$H$8</formula>
    </cfRule>
    <cfRule type="containsText" dxfId="7548" priority="9765" operator="containsText" text="=">
      <formula>"="</formula>
      <formula>$H$9</formula>
    </cfRule>
    <cfRule type="containsText" dxfId="7547" priority="9764" operator="containsText" text="=">
      <formula>"="</formula>
      <formula>$H$10</formula>
    </cfRule>
    <cfRule type="containsText" dxfId="7546" priority="9763" operator="containsText" text="=">
      <formula>"="</formula>
      <formula>$H$11</formula>
    </cfRule>
    <cfRule type="containsText" dxfId="7545" priority="9762" operator="containsText" text="=">
      <formula>"="</formula>
      <formula>$H$12</formula>
    </cfRule>
    <cfRule type="containsText" dxfId="7544" priority="9761" operator="containsText" text="=">
      <formula>"="</formula>
      <formula>$H$13</formula>
    </cfRule>
  </conditionalFormatting>
  <conditionalFormatting sqref="D115 D117 D119 D121">
    <cfRule type="containsText" dxfId="7543" priority="9760" operator="containsText" text="=">
      <formula>"="</formula>
      <formula>$H$7</formula>
    </cfRule>
    <cfRule type="containsText" dxfId="7542" priority="9759" operator="containsText" text="=">
      <formula>"="</formula>
      <formula>$H$8</formula>
    </cfRule>
    <cfRule type="containsText" dxfId="7541" priority="9758" operator="containsText" text="=">
      <formula>"="</formula>
      <formula>$H$8</formula>
    </cfRule>
    <cfRule type="containsText" dxfId="7540" priority="9757" operator="containsText" text="=">
      <formula>"="</formula>
      <formula>$H$9</formula>
    </cfRule>
    <cfRule type="containsText" dxfId="7539" priority="9756" operator="containsText" text="=">
      <formula>"="</formula>
      <formula>$H$10</formula>
    </cfRule>
    <cfRule type="containsText" dxfId="7538" priority="9755" operator="containsText" text="=">
      <formula>"="</formula>
      <formula>$H$11</formula>
    </cfRule>
    <cfRule type="containsText" dxfId="7537" priority="9754" operator="containsText" text="=">
      <formula>"="</formula>
      <formula>$H$12</formula>
    </cfRule>
    <cfRule type="containsText" dxfId="7536" priority="9753" operator="containsText" text="=">
      <formula>"="</formula>
      <formula>$H$13</formula>
    </cfRule>
  </conditionalFormatting>
  <conditionalFormatting sqref="D115 D117 D119 D121">
    <cfRule type="containsText" dxfId="7535" priority="9752" operator="containsText" text="=">
      <formula>"="</formula>
      <formula>$H$7</formula>
    </cfRule>
    <cfRule type="containsText" dxfId="7534" priority="9751" operator="containsText" text="=">
      <formula>"="</formula>
      <formula>$H$8</formula>
    </cfRule>
    <cfRule type="containsText" dxfId="7533" priority="9750" operator="containsText" text="=">
      <formula>"="</formula>
      <formula>$H$8</formula>
    </cfRule>
    <cfRule type="containsText" dxfId="7532" priority="9749" operator="containsText" text="=">
      <formula>"="</formula>
      <formula>$H$9</formula>
    </cfRule>
    <cfRule type="containsText" dxfId="7531" priority="9748" operator="containsText" text="=">
      <formula>"="</formula>
      <formula>$H$10</formula>
    </cfRule>
    <cfRule type="containsText" dxfId="7530" priority="9747" operator="containsText" text="=">
      <formula>"="</formula>
      <formula>$H$11</formula>
    </cfRule>
    <cfRule type="containsText" dxfId="7529" priority="9746" operator="containsText" text="=">
      <formula>"="</formula>
      <formula>$H$12</formula>
    </cfRule>
    <cfRule type="containsText" dxfId="7528" priority="9745" operator="containsText" text="=">
      <formula>"="</formula>
      <formula>$H$13</formula>
    </cfRule>
  </conditionalFormatting>
  <conditionalFormatting sqref="B132:B139">
    <cfRule type="containsText" dxfId="7527" priority="9744" operator="containsText" text="$H$7">
      <formula>NOT(ISERROR(SEARCH($H$7,B132)))</formula>
      <formula>$H$7</formula>
    </cfRule>
    <cfRule type="containsText" dxfId="7526" priority="9743" operator="containsText" text="$H$8">
      <formula>NOT(ISERROR(SEARCH($H$8,B132)))</formula>
      <formula>$H$8</formula>
    </cfRule>
    <cfRule type="containsText" dxfId="7525" priority="9742" operator="containsText" text="$H$8">
      <formula>NOT(ISERROR(SEARCH($H$8,B132)))</formula>
      <formula>$H$8</formula>
    </cfRule>
    <cfRule type="containsText" dxfId="7524" priority="9741" operator="containsText" text="$H$9">
      <formula>NOT(ISERROR(SEARCH($H$9,B132)))</formula>
      <formula>$H$9</formula>
    </cfRule>
    <cfRule type="containsText" dxfId="7523" priority="9740" operator="containsText" text="$H$10">
      <formula>NOT(ISERROR(SEARCH($H$10,B132)))</formula>
      <formula>$H$10</formula>
    </cfRule>
    <cfRule type="containsText" dxfId="7522" priority="9739" operator="containsText" text="$H$11">
      <formula>NOT(ISERROR(SEARCH($H$11,B132)))</formula>
      <formula>$H$11</formula>
    </cfRule>
    <cfRule type="containsText" dxfId="7521" priority="9738" operator="containsText" text="$H$12">
      <formula>NOT(ISERROR(SEARCH($H$12,B132)))</formula>
      <formula>$H$12</formula>
    </cfRule>
    <cfRule type="containsText" dxfId="7520" priority="9737" operator="containsText" text="$H$13">
      <formula>NOT(ISERROR(SEARCH($H$13,B132)))</formula>
      <formula>$H$13</formula>
    </cfRule>
  </conditionalFormatting>
  <conditionalFormatting sqref="B141 B143 B145 B147">
    <cfRule type="containsText" dxfId="7519" priority="9736" operator="containsText" text="=">
      <formula>"="</formula>
      <formula>$H$7</formula>
    </cfRule>
    <cfRule type="containsText" dxfId="7518" priority="9735" operator="containsText" text="=">
      <formula>"="</formula>
      <formula>$H$8</formula>
    </cfRule>
    <cfRule type="containsText" dxfId="7517" priority="9734" operator="containsText" text="=">
      <formula>"="</formula>
      <formula>$H$8</formula>
    </cfRule>
    <cfRule type="containsText" dxfId="7516" priority="9733" operator="containsText" text="=">
      <formula>"="</formula>
      <formula>$H$9</formula>
    </cfRule>
    <cfRule type="containsText" dxfId="7515" priority="9732" operator="containsText" text="=">
      <formula>"="</formula>
      <formula>$H$10</formula>
    </cfRule>
    <cfRule type="containsText" dxfId="7514" priority="9731" operator="containsText" text="=">
      <formula>"="</formula>
      <formula>$H$11</formula>
    </cfRule>
    <cfRule type="containsText" dxfId="7513" priority="9730" operator="containsText" text="=">
      <formula>"="</formula>
      <formula>$H$12</formula>
    </cfRule>
    <cfRule type="containsText" dxfId="7512" priority="9729" operator="containsText" text="=">
      <formula>"="</formula>
      <formula>$H$13</formula>
    </cfRule>
  </conditionalFormatting>
  <conditionalFormatting sqref="C50:C57">
    <cfRule type="containsText" dxfId="7511" priority="9728" operator="containsText" text="$H$7">
      <formula>NOT(ISERROR(SEARCH($H$7,C50)))</formula>
      <formula>$H$7</formula>
    </cfRule>
    <cfRule type="containsText" dxfId="7510" priority="9727" operator="containsText" text="$H$8">
      <formula>NOT(ISERROR(SEARCH($H$8,C50)))</formula>
      <formula>$H$8</formula>
    </cfRule>
    <cfRule type="containsText" dxfId="7509" priority="9726" operator="containsText" text="$H$8">
      <formula>NOT(ISERROR(SEARCH($H$8,C50)))</formula>
      <formula>$H$8</formula>
    </cfRule>
    <cfRule type="containsText" dxfId="7508" priority="9725" operator="containsText" text="$H$9">
      <formula>NOT(ISERROR(SEARCH($H$9,C50)))</formula>
      <formula>$H$9</formula>
    </cfRule>
    <cfRule type="containsText" dxfId="7507" priority="9724" operator="containsText" text="$H$10">
      <formula>NOT(ISERROR(SEARCH($H$10,C50)))</formula>
      <formula>$H$10</formula>
    </cfRule>
    <cfRule type="containsText" dxfId="7506" priority="9723" operator="containsText" text="$H$11">
      <formula>NOT(ISERROR(SEARCH($H$11,C50)))</formula>
      <formula>$H$11</formula>
    </cfRule>
    <cfRule type="containsText" dxfId="7505" priority="9722" operator="containsText" text="$H$12">
      <formula>NOT(ISERROR(SEARCH($H$12,C50)))</formula>
      <formula>$H$12</formula>
    </cfRule>
    <cfRule type="containsText" dxfId="7504" priority="9721" operator="containsText" text="$H$13">
      <formula>NOT(ISERROR(SEARCH($H$13,C50)))</formula>
      <formula>$H$13</formula>
    </cfRule>
  </conditionalFormatting>
  <conditionalFormatting sqref="E105 E107 E109 E111">
    <cfRule type="containsText" dxfId="7503" priority="9720" operator="containsText" text="=">
      <formula>"="</formula>
      <formula>$H$7</formula>
    </cfRule>
    <cfRule type="containsText" dxfId="7502" priority="9719" operator="containsText" text="=">
      <formula>"="</formula>
      <formula>$H$8</formula>
    </cfRule>
    <cfRule type="containsText" dxfId="7501" priority="9718" operator="containsText" text="=">
      <formula>"="</formula>
      <formula>$H$8</formula>
    </cfRule>
    <cfRule type="containsText" dxfId="7500" priority="9717" operator="containsText" text="=">
      <formula>"="</formula>
      <formula>$H$9</formula>
    </cfRule>
    <cfRule type="containsText" dxfId="7499" priority="9716" operator="containsText" text="=">
      <formula>"="</formula>
      <formula>$H$10</formula>
    </cfRule>
    <cfRule type="containsText" dxfId="7498" priority="9715" operator="containsText" text="=">
      <formula>"="</formula>
      <formula>$H$11</formula>
    </cfRule>
    <cfRule type="containsText" dxfId="7497" priority="9714" operator="containsText" text="=">
      <formula>"="</formula>
      <formula>$H$12</formula>
    </cfRule>
    <cfRule type="containsText" dxfId="7496" priority="9713" operator="containsText" text="=">
      <formula>"="</formula>
      <formula>$H$13</formula>
    </cfRule>
  </conditionalFormatting>
  <conditionalFormatting sqref="E123 E125 E127 E129">
    <cfRule type="containsText" dxfId="7495" priority="9712" operator="containsText" text="=">
      <formula>"="</formula>
      <formula>$H$7</formula>
    </cfRule>
    <cfRule type="containsText" dxfId="7494" priority="9711" operator="containsText" text="=">
      <formula>"="</formula>
      <formula>$H$8</formula>
    </cfRule>
    <cfRule type="containsText" dxfId="7493" priority="9710" operator="containsText" text="=">
      <formula>"="</formula>
      <formula>$H$8</formula>
    </cfRule>
    <cfRule type="containsText" dxfId="7492" priority="9709" operator="containsText" text="=">
      <formula>"="</formula>
      <formula>$H$9</formula>
    </cfRule>
    <cfRule type="containsText" dxfId="7491" priority="9708" operator="containsText" text="=">
      <formula>"="</formula>
      <formula>$H$10</formula>
    </cfRule>
    <cfRule type="containsText" dxfId="7490" priority="9707" operator="containsText" text="=">
      <formula>"="</formula>
      <formula>$H$11</formula>
    </cfRule>
    <cfRule type="containsText" dxfId="7489" priority="9706" operator="containsText" text="=">
      <formula>"="</formula>
      <formula>$H$12</formula>
    </cfRule>
    <cfRule type="containsText" dxfId="7488" priority="9705" operator="containsText" text="=">
      <formula>"="</formula>
      <formula>$H$13</formula>
    </cfRule>
  </conditionalFormatting>
  <conditionalFormatting sqref="E114:E121">
    <cfRule type="containsText" dxfId="7487" priority="9704" operator="containsText" text="$H$7">
      <formula>NOT(ISERROR(SEARCH($H$7,E114)))</formula>
      <formula>$H$7</formula>
    </cfRule>
    <cfRule type="containsText" dxfId="7486" priority="9703" operator="containsText" text="$H$8">
      <formula>NOT(ISERROR(SEARCH($H$8,E114)))</formula>
      <formula>$H$8</formula>
    </cfRule>
    <cfRule type="containsText" dxfId="7485" priority="9702" operator="containsText" text="$H$8">
      <formula>NOT(ISERROR(SEARCH($H$8,E114)))</formula>
      <formula>$H$8</formula>
    </cfRule>
    <cfRule type="containsText" dxfId="7484" priority="9701" operator="containsText" text="$H$9">
      <formula>NOT(ISERROR(SEARCH($H$9,E114)))</formula>
      <formula>$H$9</formula>
    </cfRule>
    <cfRule type="containsText" dxfId="7483" priority="9700" operator="containsText" text="$H$10">
      <formula>NOT(ISERROR(SEARCH($H$10,E114)))</formula>
      <formula>$H$10</formula>
    </cfRule>
    <cfRule type="containsText" dxfId="7482" priority="9699" operator="containsText" text="$H$11">
      <formula>NOT(ISERROR(SEARCH($H$11,E114)))</formula>
      <formula>$H$11</formula>
    </cfRule>
    <cfRule type="containsText" dxfId="7481" priority="9698" operator="containsText" text="$H$12">
      <formula>NOT(ISERROR(SEARCH($H$12,E114)))</formula>
      <formula>$H$12</formula>
    </cfRule>
    <cfRule type="containsText" dxfId="7480" priority="9697" operator="containsText" text="$H$13">
      <formula>NOT(ISERROR(SEARCH($H$13,E114)))</formula>
      <formula>$H$13</formula>
    </cfRule>
  </conditionalFormatting>
  <conditionalFormatting sqref="E114:E121">
    <cfRule type="containsText" dxfId="7479" priority="9696" operator="containsText" text="$H$7">
      <formula>NOT(ISERROR(SEARCH($H$7,E114)))</formula>
      <formula>$H$7</formula>
    </cfRule>
    <cfRule type="containsText" dxfId="7478" priority="9695" operator="containsText" text="$H$8">
      <formula>NOT(ISERROR(SEARCH($H$8,E114)))</formula>
      <formula>$H$8</formula>
    </cfRule>
    <cfRule type="containsText" dxfId="7477" priority="9694" operator="containsText" text="$H$8">
      <formula>NOT(ISERROR(SEARCH($H$8,E114)))</formula>
      <formula>$H$8</formula>
    </cfRule>
    <cfRule type="containsText" dxfId="7476" priority="9693" operator="containsText" text="$H$9">
      <formula>NOT(ISERROR(SEARCH($H$9,E114)))</formula>
      <formula>$H$9</formula>
    </cfRule>
    <cfRule type="containsText" dxfId="7475" priority="9692" operator="containsText" text="$H$10">
      <formula>NOT(ISERROR(SEARCH($H$10,E114)))</formula>
      <formula>$H$10</formula>
    </cfRule>
    <cfRule type="containsText" dxfId="7474" priority="9691" operator="containsText" text="$H$11">
      <formula>NOT(ISERROR(SEARCH($H$11,E114)))</formula>
      <formula>$H$11</formula>
    </cfRule>
    <cfRule type="containsText" dxfId="7473" priority="9690" operator="containsText" text="$H$12">
      <formula>NOT(ISERROR(SEARCH($H$12,E114)))</formula>
      <formula>$H$12</formula>
    </cfRule>
    <cfRule type="containsText" dxfId="7472" priority="9689" operator="containsText" text="$H$13">
      <formula>NOT(ISERROR(SEARCH($H$13,E114)))</formula>
      <formula>$H$13</formula>
    </cfRule>
  </conditionalFormatting>
  <conditionalFormatting sqref="B50:B57">
    <cfRule type="containsText" dxfId="7471" priority="9680" operator="containsText" text="$H$7">
      <formula>NOT(ISERROR(SEARCH($H$7,B50)))</formula>
      <formula>$H$7</formula>
    </cfRule>
    <cfRule type="containsText" dxfId="7470" priority="9679" operator="containsText" text="$H$8">
      <formula>NOT(ISERROR(SEARCH($H$8,B50)))</formula>
      <formula>$H$8</formula>
    </cfRule>
    <cfRule type="containsText" dxfId="7469" priority="9678" operator="containsText" text="$H$8">
      <formula>NOT(ISERROR(SEARCH($H$8,B50)))</formula>
      <formula>$H$8</formula>
    </cfRule>
    <cfRule type="containsText" dxfId="7468" priority="9677" operator="containsText" text="$H$9">
      <formula>NOT(ISERROR(SEARCH($H$9,B50)))</formula>
      <formula>$H$9</formula>
    </cfRule>
    <cfRule type="containsText" dxfId="7467" priority="9676" operator="containsText" text="$H$10">
      <formula>NOT(ISERROR(SEARCH($H$10,B50)))</formula>
      <formula>$H$10</formula>
    </cfRule>
    <cfRule type="containsText" dxfId="7466" priority="9675" operator="containsText" text="$H$11">
      <formula>NOT(ISERROR(SEARCH($H$11,B50)))</formula>
      <formula>$H$11</formula>
    </cfRule>
    <cfRule type="containsText" dxfId="7465" priority="9674" operator="containsText" text="$H$12">
      <formula>NOT(ISERROR(SEARCH($H$12,B50)))</formula>
      <formula>$H$12</formula>
    </cfRule>
    <cfRule type="containsText" dxfId="7464" priority="9673" operator="containsText" text="$H$13">
      <formula>NOT(ISERROR(SEARCH($H$13,B50)))</formula>
      <formula>$H$13</formula>
    </cfRule>
  </conditionalFormatting>
  <conditionalFormatting sqref="E132:E139">
    <cfRule type="containsText" dxfId="7463" priority="9648" operator="containsText" text="$H$7">
      <formula>NOT(ISERROR(SEARCH($H$7,E132)))</formula>
      <formula>$H$7</formula>
    </cfRule>
    <cfRule type="containsText" dxfId="7462" priority="9647" operator="containsText" text="$H$8">
      <formula>NOT(ISERROR(SEARCH($H$8,E132)))</formula>
      <formula>$H$8</formula>
    </cfRule>
    <cfRule type="containsText" dxfId="7461" priority="9646" operator="containsText" text="$H$8">
      <formula>NOT(ISERROR(SEARCH($H$8,E132)))</formula>
      <formula>$H$8</formula>
    </cfRule>
    <cfRule type="containsText" dxfId="7460" priority="9645" operator="containsText" text="$H$9">
      <formula>NOT(ISERROR(SEARCH($H$9,E132)))</formula>
      <formula>$H$9</formula>
    </cfRule>
    <cfRule type="containsText" dxfId="7459" priority="9644" operator="containsText" text="$H$10">
      <formula>NOT(ISERROR(SEARCH($H$10,E132)))</formula>
      <formula>$H$10</formula>
    </cfRule>
    <cfRule type="containsText" dxfId="7458" priority="9643" operator="containsText" text="$H$11">
      <formula>NOT(ISERROR(SEARCH($H$11,E132)))</formula>
      <formula>$H$11</formula>
    </cfRule>
    <cfRule type="containsText" dxfId="7457" priority="9642" operator="containsText" text="$H$12">
      <formula>NOT(ISERROR(SEARCH($H$12,E132)))</formula>
      <formula>$H$12</formula>
    </cfRule>
    <cfRule type="containsText" dxfId="7456" priority="9641" operator="containsText" text="$H$13">
      <formula>NOT(ISERROR(SEARCH($H$13,E132)))</formula>
      <formula>$H$13</formula>
    </cfRule>
  </conditionalFormatting>
  <conditionalFormatting sqref="E132:E139">
    <cfRule type="containsText" dxfId="7455" priority="9640" operator="containsText" text="$H$7">
      <formula>NOT(ISERROR(SEARCH($H$7,E132)))</formula>
      <formula>$H$7</formula>
    </cfRule>
    <cfRule type="containsText" dxfId="7454" priority="9639" operator="containsText" text="$H$8">
      <formula>NOT(ISERROR(SEARCH($H$8,E132)))</formula>
      <formula>$H$8</formula>
    </cfRule>
    <cfRule type="containsText" dxfId="7453" priority="9638" operator="containsText" text="$H$8">
      <formula>NOT(ISERROR(SEARCH($H$8,E132)))</formula>
      <formula>$H$8</formula>
    </cfRule>
    <cfRule type="containsText" dxfId="7452" priority="9637" operator="containsText" text="$H$9">
      <formula>NOT(ISERROR(SEARCH($H$9,E132)))</formula>
      <formula>$H$9</formula>
    </cfRule>
    <cfRule type="containsText" dxfId="7451" priority="9636" operator="containsText" text="$H$10">
      <formula>NOT(ISERROR(SEARCH($H$10,E132)))</formula>
      <formula>$H$10</formula>
    </cfRule>
    <cfRule type="containsText" dxfId="7450" priority="9635" operator="containsText" text="$H$11">
      <formula>NOT(ISERROR(SEARCH($H$11,E132)))</formula>
      <formula>$H$11</formula>
    </cfRule>
    <cfRule type="containsText" dxfId="7449" priority="9634" operator="containsText" text="$H$12">
      <formula>NOT(ISERROR(SEARCH($H$12,E132)))</formula>
      <formula>$H$12</formula>
    </cfRule>
    <cfRule type="containsText" dxfId="7448" priority="9633" operator="containsText" text="$H$13">
      <formula>NOT(ISERROR(SEARCH($H$13,E132)))</formula>
      <formula>$H$13</formula>
    </cfRule>
  </conditionalFormatting>
  <conditionalFormatting sqref="D60:D67">
    <cfRule type="containsText" dxfId="7447" priority="9632" operator="containsText" text="$H$7">
      <formula>NOT(ISERROR(SEARCH($H$7,D60)))</formula>
      <formula>$H$7</formula>
    </cfRule>
    <cfRule type="containsText" dxfId="7446" priority="9631" operator="containsText" text="$H$8">
      <formula>NOT(ISERROR(SEARCH($H$8,D60)))</formula>
      <formula>$H$8</formula>
    </cfRule>
    <cfRule type="containsText" dxfId="7445" priority="9630" operator="containsText" text="$H$8">
      <formula>NOT(ISERROR(SEARCH($H$8,D60)))</formula>
      <formula>$H$8</formula>
    </cfRule>
    <cfRule type="containsText" dxfId="7444" priority="9629" operator="containsText" text="$H$9">
      <formula>NOT(ISERROR(SEARCH($H$9,D60)))</formula>
      <formula>$H$9</formula>
    </cfRule>
    <cfRule type="containsText" dxfId="7443" priority="9628" operator="containsText" text="$H$10">
      <formula>NOT(ISERROR(SEARCH($H$10,D60)))</formula>
      <formula>$H$10</formula>
    </cfRule>
    <cfRule type="containsText" dxfId="7442" priority="9627" operator="containsText" text="$H$11">
      <formula>NOT(ISERROR(SEARCH($H$11,D60)))</formula>
      <formula>$H$11</formula>
    </cfRule>
    <cfRule type="containsText" dxfId="7441" priority="9626" operator="containsText" text="$H$12">
      <formula>NOT(ISERROR(SEARCH($H$12,D60)))</formula>
      <formula>$H$12</formula>
    </cfRule>
    <cfRule type="containsText" dxfId="7440" priority="9625" operator="containsText" text="$H$13">
      <formula>NOT(ISERROR(SEARCH($H$13,D60)))</formula>
      <formula>$H$13</formula>
    </cfRule>
  </conditionalFormatting>
  <conditionalFormatting sqref="D96:D103">
    <cfRule type="containsText" dxfId="7439" priority="9624" operator="containsText" text="$H$7">
      <formula>NOT(ISERROR(SEARCH($H$7,D96)))</formula>
      <formula>$H$7</formula>
    </cfRule>
    <cfRule type="containsText" dxfId="7438" priority="9623" operator="containsText" text="$H$8">
      <formula>NOT(ISERROR(SEARCH($H$8,D96)))</formula>
      <formula>$H$8</formula>
    </cfRule>
    <cfRule type="containsText" dxfId="7437" priority="9622" operator="containsText" text="$H$8">
      <formula>NOT(ISERROR(SEARCH($H$8,D96)))</formula>
      <formula>$H$8</formula>
    </cfRule>
    <cfRule type="containsText" dxfId="7436" priority="9621" operator="containsText" text="$H$9">
      <formula>NOT(ISERROR(SEARCH($H$9,D96)))</formula>
      <formula>$H$9</formula>
    </cfRule>
    <cfRule type="containsText" dxfId="7435" priority="9620" operator="containsText" text="$H$10">
      <formula>NOT(ISERROR(SEARCH($H$10,D96)))</formula>
      <formula>$H$10</formula>
    </cfRule>
    <cfRule type="containsText" dxfId="7434" priority="9619" operator="containsText" text="$H$11">
      <formula>NOT(ISERROR(SEARCH($H$11,D96)))</formula>
      <formula>$H$11</formula>
    </cfRule>
    <cfRule type="containsText" dxfId="7433" priority="9618" operator="containsText" text="$H$12">
      <formula>NOT(ISERROR(SEARCH($H$12,D96)))</formula>
      <formula>$H$12</formula>
    </cfRule>
    <cfRule type="containsText" dxfId="7432" priority="9617" operator="containsText" text="$H$13">
      <formula>NOT(ISERROR(SEARCH($H$13,D96)))</formula>
      <formula>$H$13</formula>
    </cfRule>
  </conditionalFormatting>
  <conditionalFormatting sqref="D96:D103">
    <cfRule type="containsText" dxfId="7431" priority="9616" operator="containsText" text="$H$7">
      <formula>NOT(ISERROR(SEARCH($H$7,D96)))</formula>
      <formula>$H$7</formula>
    </cfRule>
    <cfRule type="containsText" dxfId="7430" priority="9615" operator="containsText" text="$H$8">
      <formula>NOT(ISERROR(SEARCH($H$8,D96)))</formula>
      <formula>$H$8</formula>
    </cfRule>
    <cfRule type="containsText" dxfId="7429" priority="9614" operator="containsText" text="$H$8">
      <formula>NOT(ISERROR(SEARCH($H$8,D96)))</formula>
      <formula>$H$8</formula>
    </cfRule>
    <cfRule type="containsText" dxfId="7428" priority="9613" operator="containsText" text="$H$9">
      <formula>NOT(ISERROR(SEARCH($H$9,D96)))</formula>
      <formula>$H$9</formula>
    </cfRule>
    <cfRule type="containsText" dxfId="7427" priority="9612" operator="containsText" text="$H$10">
      <formula>NOT(ISERROR(SEARCH($H$10,D96)))</formula>
      <formula>$H$10</formula>
    </cfRule>
    <cfRule type="containsText" dxfId="7426" priority="9611" operator="containsText" text="$H$11">
      <formula>NOT(ISERROR(SEARCH($H$11,D96)))</formula>
      <formula>$H$11</formula>
    </cfRule>
    <cfRule type="containsText" dxfId="7425" priority="9610" operator="containsText" text="$H$12">
      <formula>NOT(ISERROR(SEARCH($H$12,D96)))</formula>
      <formula>$H$12</formula>
    </cfRule>
    <cfRule type="containsText" dxfId="7424" priority="9609" operator="containsText" text="$H$13">
      <formula>NOT(ISERROR(SEARCH($H$13,D96)))</formula>
      <formula>$H$13</formula>
    </cfRule>
  </conditionalFormatting>
  <conditionalFormatting sqref="D132:D139">
    <cfRule type="containsText" dxfId="7423" priority="9608" operator="containsText" text="$H$7">
      <formula>NOT(ISERROR(SEARCH($H$7,D132)))</formula>
      <formula>$H$7</formula>
    </cfRule>
    <cfRule type="containsText" dxfId="7422" priority="9607" operator="containsText" text="$H$8">
      <formula>NOT(ISERROR(SEARCH($H$8,D132)))</formula>
      <formula>$H$8</formula>
    </cfRule>
    <cfRule type="containsText" dxfId="7421" priority="9606" operator="containsText" text="$H$8">
      <formula>NOT(ISERROR(SEARCH($H$8,D132)))</formula>
      <formula>$H$8</formula>
    </cfRule>
    <cfRule type="containsText" dxfId="7420" priority="9605" operator="containsText" text="$H$9">
      <formula>NOT(ISERROR(SEARCH($H$9,D132)))</formula>
      <formula>$H$9</formula>
    </cfRule>
    <cfRule type="containsText" dxfId="7419" priority="9604" operator="containsText" text="$H$10">
      <formula>NOT(ISERROR(SEARCH($H$10,D132)))</formula>
      <formula>$H$10</formula>
    </cfRule>
    <cfRule type="containsText" dxfId="7418" priority="9603" operator="containsText" text="$H$11">
      <formula>NOT(ISERROR(SEARCH($H$11,D132)))</formula>
      <formula>$H$11</formula>
    </cfRule>
    <cfRule type="containsText" dxfId="7417" priority="9602" operator="containsText" text="$H$12">
      <formula>NOT(ISERROR(SEARCH($H$12,D132)))</formula>
      <formula>$H$12</formula>
    </cfRule>
    <cfRule type="containsText" dxfId="7416" priority="9601" operator="containsText" text="$H$13">
      <formula>NOT(ISERROR(SEARCH($H$13,D132)))</formula>
      <formula>$H$13</formula>
    </cfRule>
  </conditionalFormatting>
  <conditionalFormatting sqref="F140:F147">
    <cfRule type="containsText" dxfId="7415" priority="9600" operator="containsText" text="$H$7">
      <formula>NOT(ISERROR(SEARCH($H$7,F140)))</formula>
      <formula>$H$7</formula>
    </cfRule>
    <cfRule type="containsText" dxfId="7414" priority="9599" operator="containsText" text="$H$8">
      <formula>NOT(ISERROR(SEARCH($H$8,F140)))</formula>
      <formula>$H$8</formula>
    </cfRule>
    <cfRule type="containsText" dxfId="7413" priority="9598" operator="containsText" text="$H$8">
      <formula>NOT(ISERROR(SEARCH($H$8,F140)))</formula>
      <formula>$H$8</formula>
    </cfRule>
    <cfRule type="containsText" dxfId="7412" priority="9597" operator="containsText" text="$H$9">
      <formula>NOT(ISERROR(SEARCH($H$9,F140)))</formula>
      <formula>$H$9</formula>
    </cfRule>
    <cfRule type="containsText" dxfId="7411" priority="9596" operator="containsText" text="$H$10">
      <formula>NOT(ISERROR(SEARCH($H$10,F140)))</formula>
      <formula>$H$10</formula>
    </cfRule>
    <cfRule type="containsText" dxfId="7410" priority="9595" operator="containsText" text="$H$11">
      <formula>NOT(ISERROR(SEARCH($H$11,F140)))</formula>
      <formula>$H$11</formula>
    </cfRule>
    <cfRule type="containsText" dxfId="7409" priority="9594" operator="containsText" text="$H$12">
      <formula>NOT(ISERROR(SEARCH($H$12,F140)))</formula>
      <formula>$H$12</formula>
    </cfRule>
    <cfRule type="containsText" dxfId="7408" priority="9593" operator="containsText" text="$H$13">
      <formula>NOT(ISERROR(SEARCH($H$13,F140)))</formula>
      <formula>$H$13</formula>
    </cfRule>
  </conditionalFormatting>
  <conditionalFormatting sqref="B168:B175">
    <cfRule type="containsText" dxfId="7407" priority="9592" operator="containsText" text="$H$7">
      <formula>NOT(ISERROR(SEARCH($H$7,B168)))</formula>
      <formula>$H$7</formula>
    </cfRule>
    <cfRule type="containsText" dxfId="7406" priority="9591" operator="containsText" text="$H$8">
      <formula>NOT(ISERROR(SEARCH($H$8,B168)))</formula>
      <formula>$H$8</formula>
    </cfRule>
    <cfRule type="containsText" dxfId="7405" priority="9590" operator="containsText" text="$H$8">
      <formula>NOT(ISERROR(SEARCH($H$8,B168)))</formula>
      <formula>$H$8</formula>
    </cfRule>
    <cfRule type="containsText" dxfId="7404" priority="9589" operator="containsText" text="$H$9">
      <formula>NOT(ISERROR(SEARCH($H$9,B168)))</formula>
      <formula>$H$9</formula>
    </cfRule>
    <cfRule type="containsText" dxfId="7403" priority="9588" operator="containsText" text="$H$10">
      <formula>NOT(ISERROR(SEARCH($H$10,B168)))</formula>
      <formula>$H$10</formula>
    </cfRule>
    <cfRule type="containsText" dxfId="7402" priority="9587" operator="containsText" text="$H$11">
      <formula>NOT(ISERROR(SEARCH($H$11,B168)))</formula>
      <formula>$H$11</formula>
    </cfRule>
    <cfRule type="containsText" dxfId="7401" priority="9586" operator="containsText" text="$H$12">
      <formula>NOT(ISERROR(SEARCH($H$12,B168)))</formula>
      <formula>$H$12</formula>
    </cfRule>
    <cfRule type="containsText" dxfId="7400" priority="9585" operator="containsText" text="$H$13">
      <formula>NOT(ISERROR(SEARCH($H$13,B168)))</formula>
      <formula>$H$13</formula>
    </cfRule>
  </conditionalFormatting>
  <conditionalFormatting sqref="D168:D175">
    <cfRule type="containsText" dxfId="7399" priority="9584" operator="containsText" text="$H$7">
      <formula>NOT(ISERROR(SEARCH($H$7,D168)))</formula>
      <formula>$H$7</formula>
    </cfRule>
    <cfRule type="containsText" dxfId="7398" priority="9583" operator="containsText" text="$H$8">
      <formula>NOT(ISERROR(SEARCH($H$8,D168)))</formula>
      <formula>$H$8</formula>
    </cfRule>
    <cfRule type="containsText" dxfId="7397" priority="9582" operator="containsText" text="$H$8">
      <formula>NOT(ISERROR(SEARCH($H$8,D168)))</formula>
      <formula>$H$8</formula>
    </cfRule>
    <cfRule type="containsText" dxfId="7396" priority="9581" operator="containsText" text="$H$9">
      <formula>NOT(ISERROR(SEARCH($H$9,D168)))</formula>
      <formula>$H$9</formula>
    </cfRule>
    <cfRule type="containsText" dxfId="7395" priority="9580" operator="containsText" text="$H$10">
      <formula>NOT(ISERROR(SEARCH($H$10,D168)))</formula>
      <formula>$H$10</formula>
    </cfRule>
    <cfRule type="containsText" dxfId="7394" priority="9579" operator="containsText" text="$H$11">
      <formula>NOT(ISERROR(SEARCH($H$11,D168)))</formula>
      <formula>$H$11</formula>
    </cfRule>
    <cfRule type="containsText" dxfId="7393" priority="9578" operator="containsText" text="$H$12">
      <formula>NOT(ISERROR(SEARCH($H$12,D168)))</formula>
      <formula>$H$12</formula>
    </cfRule>
    <cfRule type="containsText" dxfId="7392" priority="9577" operator="containsText" text="$H$13">
      <formula>NOT(ISERROR(SEARCH($H$13,D168)))</formula>
      <formula>$H$13</formula>
    </cfRule>
  </conditionalFormatting>
  <conditionalFormatting sqref="C132:C139">
    <cfRule type="containsText" dxfId="7391" priority="9576" operator="containsText" text="$H$7">
      <formula>NOT(ISERROR(SEARCH($H$7,C132)))</formula>
      <formula>$H$7</formula>
    </cfRule>
    <cfRule type="containsText" dxfId="7390" priority="9575" operator="containsText" text="$H$8">
      <formula>NOT(ISERROR(SEARCH($H$8,C132)))</formula>
      <formula>$H$8</formula>
    </cfRule>
    <cfRule type="containsText" dxfId="7389" priority="9574" operator="containsText" text="$H$8">
      <formula>NOT(ISERROR(SEARCH($H$8,C132)))</formula>
      <formula>$H$8</formula>
    </cfRule>
    <cfRule type="containsText" dxfId="7388" priority="9573" operator="containsText" text="$H$9">
      <formula>NOT(ISERROR(SEARCH($H$9,C132)))</formula>
      <formula>$H$9</formula>
    </cfRule>
    <cfRule type="containsText" dxfId="7387" priority="9572" operator="containsText" text="$H$10">
      <formula>NOT(ISERROR(SEARCH($H$10,C132)))</formula>
      <formula>$H$10</formula>
    </cfRule>
    <cfRule type="containsText" dxfId="7386" priority="9571" operator="containsText" text="$H$11">
      <formula>NOT(ISERROR(SEARCH($H$11,C132)))</formula>
      <formula>$H$11</formula>
    </cfRule>
    <cfRule type="containsText" dxfId="7385" priority="9570" operator="containsText" text="$H$12">
      <formula>NOT(ISERROR(SEARCH($H$12,C132)))</formula>
      <formula>$H$12</formula>
    </cfRule>
    <cfRule type="containsText" dxfId="7384" priority="9569" operator="containsText" text="$H$13">
      <formula>NOT(ISERROR(SEARCH($H$13,C132)))</formula>
      <formula>$H$13</formula>
    </cfRule>
  </conditionalFormatting>
  <conditionalFormatting sqref="C132:C139">
    <cfRule type="containsText" dxfId="7383" priority="9568" operator="containsText" text="$H$7">
      <formula>NOT(ISERROR(SEARCH($H$7,C132)))</formula>
      <formula>$H$7</formula>
    </cfRule>
    <cfRule type="containsText" dxfId="7382" priority="9567" operator="containsText" text="$H$8">
      <formula>NOT(ISERROR(SEARCH($H$8,C132)))</formula>
      <formula>$H$8</formula>
    </cfRule>
    <cfRule type="containsText" dxfId="7381" priority="9566" operator="containsText" text="$H$8">
      <formula>NOT(ISERROR(SEARCH($H$8,C132)))</formula>
      <formula>$H$8</formula>
    </cfRule>
    <cfRule type="containsText" dxfId="7380" priority="9565" operator="containsText" text="$H$9">
      <formula>NOT(ISERROR(SEARCH($H$9,C132)))</formula>
      <formula>$H$9</formula>
    </cfRule>
    <cfRule type="containsText" dxfId="7379" priority="9564" operator="containsText" text="$H$10">
      <formula>NOT(ISERROR(SEARCH($H$10,C132)))</formula>
      <formula>$H$10</formula>
    </cfRule>
    <cfRule type="containsText" dxfId="7378" priority="9563" operator="containsText" text="$H$11">
      <formula>NOT(ISERROR(SEARCH($H$11,C132)))</formula>
      <formula>$H$11</formula>
    </cfRule>
    <cfRule type="containsText" dxfId="7377" priority="9562" operator="containsText" text="$H$12">
      <formula>NOT(ISERROR(SEARCH($H$12,C132)))</formula>
      <formula>$H$12</formula>
    </cfRule>
    <cfRule type="containsText" dxfId="7376" priority="9561" operator="containsText" text="$H$13">
      <formula>NOT(ISERROR(SEARCH($H$13,C132)))</formula>
      <formula>$H$13</formula>
    </cfRule>
  </conditionalFormatting>
  <conditionalFormatting sqref="C141 C143 C145 C147">
    <cfRule type="containsText" dxfId="7375" priority="9560" operator="containsText" text="=">
      <formula>"="</formula>
      <formula>$H$7</formula>
    </cfRule>
    <cfRule type="containsText" dxfId="7374" priority="9559" operator="containsText" text="=">
      <formula>"="</formula>
      <formula>$H$8</formula>
    </cfRule>
    <cfRule type="containsText" dxfId="7373" priority="9558" operator="containsText" text="=">
      <formula>"="</formula>
      <formula>$H$8</formula>
    </cfRule>
    <cfRule type="containsText" dxfId="7372" priority="9557" operator="containsText" text="=">
      <formula>"="</formula>
      <formula>$H$9</formula>
    </cfRule>
    <cfRule type="containsText" dxfId="7371" priority="9556" operator="containsText" text="=">
      <formula>"="</formula>
      <formula>$H$10</formula>
    </cfRule>
    <cfRule type="containsText" dxfId="7370" priority="9555" operator="containsText" text="=">
      <formula>"="</formula>
      <formula>$H$11</formula>
    </cfRule>
    <cfRule type="containsText" dxfId="7369" priority="9554" operator="containsText" text="=">
      <formula>"="</formula>
      <formula>$H$12</formula>
    </cfRule>
    <cfRule type="containsText" dxfId="7368" priority="9553" operator="containsText" text="=">
      <formula>"="</formula>
      <formula>$H$13</formula>
    </cfRule>
  </conditionalFormatting>
  <conditionalFormatting sqref="D141 D143 D145 D147">
    <cfRule type="containsText" dxfId="7367" priority="9552" operator="containsText" text="=">
      <formula>"="</formula>
      <formula>$H$7</formula>
    </cfRule>
    <cfRule type="containsText" dxfId="7366" priority="9551" operator="containsText" text="=">
      <formula>"="</formula>
      <formula>$H$8</formula>
    </cfRule>
    <cfRule type="containsText" dxfId="7365" priority="9550" operator="containsText" text="=">
      <formula>"="</formula>
      <formula>$H$8</formula>
    </cfRule>
    <cfRule type="containsText" dxfId="7364" priority="9549" operator="containsText" text="=">
      <formula>"="</formula>
      <formula>$H$9</formula>
    </cfRule>
    <cfRule type="containsText" dxfId="7363" priority="9548" operator="containsText" text="=">
      <formula>"="</formula>
      <formula>$H$10</formula>
    </cfRule>
    <cfRule type="containsText" dxfId="7362" priority="9547" operator="containsText" text="=">
      <formula>"="</formula>
      <formula>$H$11</formula>
    </cfRule>
    <cfRule type="containsText" dxfId="7361" priority="9546" operator="containsText" text="=">
      <formula>"="</formula>
      <formula>$H$12</formula>
    </cfRule>
    <cfRule type="containsText" dxfId="7360" priority="9545" operator="containsText" text="=">
      <formula>"="</formula>
      <formula>$H$13</formula>
    </cfRule>
  </conditionalFormatting>
  <conditionalFormatting sqref="F132:F139">
    <cfRule type="containsText" dxfId="7359" priority="9544" operator="containsText" text="$H$7">
      <formula>NOT(ISERROR(SEARCH($H$7,F132)))</formula>
      <formula>$H$7</formula>
    </cfRule>
    <cfRule type="containsText" dxfId="7358" priority="9543" operator="containsText" text="$H$8">
      <formula>NOT(ISERROR(SEARCH($H$8,F132)))</formula>
      <formula>$H$8</formula>
    </cfRule>
    <cfRule type="containsText" dxfId="7357" priority="9542" operator="containsText" text="$H$8">
      <formula>NOT(ISERROR(SEARCH($H$8,F132)))</formula>
      <formula>$H$8</formula>
    </cfRule>
    <cfRule type="containsText" dxfId="7356" priority="9541" operator="containsText" text="$H$9">
      <formula>NOT(ISERROR(SEARCH($H$9,F132)))</formula>
      <formula>$H$9</formula>
    </cfRule>
    <cfRule type="containsText" dxfId="7355" priority="9540" operator="containsText" text="$H$10">
      <formula>NOT(ISERROR(SEARCH($H$10,F132)))</formula>
      <formula>$H$10</formula>
    </cfRule>
    <cfRule type="containsText" dxfId="7354" priority="9539" operator="containsText" text="$H$11">
      <formula>NOT(ISERROR(SEARCH($H$11,F132)))</formula>
      <formula>$H$11</formula>
    </cfRule>
    <cfRule type="containsText" dxfId="7353" priority="9538" operator="containsText" text="$H$12">
      <formula>NOT(ISERROR(SEARCH($H$12,F132)))</formula>
      <formula>$H$12</formula>
    </cfRule>
    <cfRule type="containsText" dxfId="7352" priority="9537" operator="containsText" text="$H$13">
      <formula>NOT(ISERROR(SEARCH($H$13,F132)))</formula>
      <formula>$H$13</formula>
    </cfRule>
  </conditionalFormatting>
  <conditionalFormatting sqref="F132:F139">
    <cfRule type="containsText" dxfId="7351" priority="9536" operator="containsText" text="$H$7">
      <formula>NOT(ISERROR(SEARCH($H$7,F132)))</formula>
      <formula>$H$7</formula>
    </cfRule>
    <cfRule type="containsText" dxfId="7350" priority="9535" operator="containsText" text="$H$8">
      <formula>NOT(ISERROR(SEARCH($H$8,F132)))</formula>
      <formula>$H$8</formula>
    </cfRule>
    <cfRule type="containsText" dxfId="7349" priority="9534" operator="containsText" text="$H$8">
      <formula>NOT(ISERROR(SEARCH($H$8,F132)))</formula>
      <formula>$H$8</formula>
    </cfRule>
    <cfRule type="containsText" dxfId="7348" priority="9533" operator="containsText" text="$H$9">
      <formula>NOT(ISERROR(SEARCH($H$9,F132)))</formula>
      <formula>$H$9</formula>
    </cfRule>
    <cfRule type="containsText" dxfId="7347" priority="9532" operator="containsText" text="$H$10">
      <formula>NOT(ISERROR(SEARCH($H$10,F132)))</formula>
      <formula>$H$10</formula>
    </cfRule>
    <cfRule type="containsText" dxfId="7346" priority="9531" operator="containsText" text="$H$11">
      <formula>NOT(ISERROR(SEARCH($H$11,F132)))</formula>
      <formula>$H$11</formula>
    </cfRule>
    <cfRule type="containsText" dxfId="7345" priority="9530" operator="containsText" text="$H$12">
      <formula>NOT(ISERROR(SEARCH($H$12,F132)))</formula>
      <formula>$H$12</formula>
    </cfRule>
    <cfRule type="containsText" dxfId="7344" priority="9529" operator="containsText" text="$H$13">
      <formula>NOT(ISERROR(SEARCH($H$13,F132)))</formula>
      <formula>$H$13</formula>
    </cfRule>
  </conditionalFormatting>
  <conditionalFormatting sqref="C150:C157">
    <cfRule type="containsText" dxfId="7343" priority="9528" operator="containsText" text="$H$7">
      <formula>NOT(ISERROR(SEARCH($H$7,C150)))</formula>
      <formula>$H$7</formula>
    </cfRule>
    <cfRule type="containsText" dxfId="7342" priority="9527" operator="containsText" text="$H$8">
      <formula>NOT(ISERROR(SEARCH($H$8,C150)))</formula>
      <formula>$H$8</formula>
    </cfRule>
    <cfRule type="containsText" dxfId="7341" priority="9526" operator="containsText" text="$H$8">
      <formula>NOT(ISERROR(SEARCH($H$8,C150)))</formula>
      <formula>$H$8</formula>
    </cfRule>
    <cfRule type="containsText" dxfId="7340" priority="9525" operator="containsText" text="$H$9">
      <formula>NOT(ISERROR(SEARCH($H$9,C150)))</formula>
      <formula>$H$9</formula>
    </cfRule>
    <cfRule type="containsText" dxfId="7339" priority="9524" operator="containsText" text="$H$10">
      <formula>NOT(ISERROR(SEARCH($H$10,C150)))</formula>
      <formula>$H$10</formula>
    </cfRule>
    <cfRule type="containsText" dxfId="7338" priority="9523" operator="containsText" text="$H$11">
      <formula>NOT(ISERROR(SEARCH($H$11,C150)))</formula>
      <formula>$H$11</formula>
    </cfRule>
    <cfRule type="containsText" dxfId="7337" priority="9522" operator="containsText" text="$H$12">
      <formula>NOT(ISERROR(SEARCH($H$12,C150)))</formula>
      <formula>$H$12</formula>
    </cfRule>
    <cfRule type="containsText" dxfId="7336" priority="9521" operator="containsText" text="$H$13">
      <formula>NOT(ISERROR(SEARCH($H$13,C150)))</formula>
      <formula>$H$13</formula>
    </cfRule>
  </conditionalFormatting>
  <conditionalFormatting sqref="C150:C157">
    <cfRule type="containsText" dxfId="7335" priority="9520" operator="containsText" text="$H$7">
      <formula>NOT(ISERROR(SEARCH($H$7,C150)))</formula>
      <formula>$H$7</formula>
    </cfRule>
    <cfRule type="containsText" dxfId="7334" priority="9519" operator="containsText" text="$H$8">
      <formula>NOT(ISERROR(SEARCH($H$8,C150)))</formula>
      <formula>$H$8</formula>
    </cfRule>
    <cfRule type="containsText" dxfId="7333" priority="9518" operator="containsText" text="$H$8">
      <formula>NOT(ISERROR(SEARCH($H$8,C150)))</formula>
      <formula>$H$8</formula>
    </cfRule>
    <cfRule type="containsText" dxfId="7332" priority="9517" operator="containsText" text="$H$9">
      <formula>NOT(ISERROR(SEARCH($H$9,C150)))</formula>
      <formula>$H$9</formula>
    </cfRule>
    <cfRule type="containsText" dxfId="7331" priority="9516" operator="containsText" text="$H$10">
      <formula>NOT(ISERROR(SEARCH($H$10,C150)))</formula>
      <formula>$H$10</formula>
    </cfRule>
    <cfRule type="containsText" dxfId="7330" priority="9515" operator="containsText" text="$H$11">
      <formula>NOT(ISERROR(SEARCH($H$11,C150)))</formula>
      <formula>$H$11</formula>
    </cfRule>
    <cfRule type="containsText" dxfId="7329" priority="9514" operator="containsText" text="$H$12">
      <formula>NOT(ISERROR(SEARCH($H$12,C150)))</formula>
      <formula>$H$12</formula>
    </cfRule>
    <cfRule type="containsText" dxfId="7328" priority="9513" operator="containsText" text="$H$13">
      <formula>NOT(ISERROR(SEARCH($H$13,C150)))</formula>
      <formula>$H$13</formula>
    </cfRule>
  </conditionalFormatting>
  <conditionalFormatting sqref="E141">
    <cfRule type="containsText" dxfId="7327" priority="9512" operator="containsText" text="$H$7">
      <formula>NOT(ISERROR(SEARCH($H$7,E141)))</formula>
      <formula>$H$7</formula>
    </cfRule>
    <cfRule type="containsText" dxfId="7326" priority="9511" operator="containsText" text="$H$8">
      <formula>NOT(ISERROR(SEARCH($H$8,E141)))</formula>
      <formula>$H$8</formula>
    </cfRule>
    <cfRule type="containsText" dxfId="7325" priority="9510" operator="containsText" text="$H$8">
      <formula>NOT(ISERROR(SEARCH($H$8,E141)))</formula>
      <formula>$H$8</formula>
    </cfRule>
    <cfRule type="containsText" dxfId="7324" priority="9509" operator="containsText" text="$H$9">
      <formula>NOT(ISERROR(SEARCH($H$9,E141)))</formula>
      <formula>$H$9</formula>
    </cfRule>
    <cfRule type="containsText" dxfId="7323" priority="9508" operator="containsText" text="$H$10">
      <formula>NOT(ISERROR(SEARCH($H$10,E141)))</formula>
      <formula>$H$10</formula>
    </cfRule>
    <cfRule type="containsText" dxfId="7322" priority="9507" operator="containsText" text="$H$11">
      <formula>NOT(ISERROR(SEARCH($H$11,E141)))</formula>
      <formula>$H$11</formula>
    </cfRule>
    <cfRule type="containsText" dxfId="7321" priority="9506" operator="containsText" text="$H$12">
      <formula>NOT(ISERROR(SEARCH($H$12,E141)))</formula>
      <formula>$H$12</formula>
    </cfRule>
    <cfRule type="containsText" dxfId="7320" priority="9505" operator="containsText" text="$H$13">
      <formula>NOT(ISERROR(SEARCH($H$13,E141)))</formula>
      <formula>$H$13</formula>
    </cfRule>
  </conditionalFormatting>
  <conditionalFormatting sqref="E143">
    <cfRule type="containsText" dxfId="7319" priority="9504" operator="containsText" text="$H$7">
      <formula>NOT(ISERROR(SEARCH($H$7,E143)))</formula>
      <formula>$H$7</formula>
    </cfRule>
    <cfRule type="containsText" dxfId="7318" priority="9503" operator="containsText" text="$H$8">
      <formula>NOT(ISERROR(SEARCH($H$8,E143)))</formula>
      <formula>$H$8</formula>
    </cfRule>
    <cfRule type="containsText" dxfId="7317" priority="9502" operator="containsText" text="$H$8">
      <formula>NOT(ISERROR(SEARCH($H$8,E143)))</formula>
      <formula>$H$8</formula>
    </cfRule>
    <cfRule type="containsText" dxfId="7316" priority="9501" operator="containsText" text="$H$9">
      <formula>NOT(ISERROR(SEARCH($H$9,E143)))</formula>
      <formula>$H$9</formula>
    </cfRule>
    <cfRule type="containsText" dxfId="7315" priority="9500" operator="containsText" text="$H$10">
      <formula>NOT(ISERROR(SEARCH($H$10,E143)))</formula>
      <formula>$H$10</formula>
    </cfRule>
    <cfRule type="containsText" dxfId="7314" priority="9499" operator="containsText" text="$H$11">
      <formula>NOT(ISERROR(SEARCH($H$11,E143)))</formula>
      <formula>$H$11</formula>
    </cfRule>
    <cfRule type="containsText" dxfId="7313" priority="9498" operator="containsText" text="$H$12">
      <formula>NOT(ISERROR(SEARCH($H$12,E143)))</formula>
      <formula>$H$12</formula>
    </cfRule>
    <cfRule type="containsText" dxfId="7312" priority="9497" operator="containsText" text="$H$13">
      <formula>NOT(ISERROR(SEARCH($H$13,E143)))</formula>
      <formula>$H$13</formula>
    </cfRule>
  </conditionalFormatting>
  <conditionalFormatting sqref="E145">
    <cfRule type="containsText" dxfId="7311" priority="9496" operator="containsText" text="$H$7">
      <formula>NOT(ISERROR(SEARCH($H$7,E145)))</formula>
      <formula>$H$7</formula>
    </cfRule>
    <cfRule type="containsText" dxfId="7310" priority="9495" operator="containsText" text="$H$8">
      <formula>NOT(ISERROR(SEARCH($H$8,E145)))</formula>
      <formula>$H$8</formula>
    </cfRule>
    <cfRule type="containsText" dxfId="7309" priority="9494" operator="containsText" text="$H$8">
      <formula>NOT(ISERROR(SEARCH($H$8,E145)))</formula>
      <formula>$H$8</formula>
    </cfRule>
    <cfRule type="containsText" dxfId="7308" priority="9493" operator="containsText" text="$H$9">
      <formula>NOT(ISERROR(SEARCH($H$9,E145)))</formula>
      <formula>$H$9</formula>
    </cfRule>
    <cfRule type="containsText" dxfId="7307" priority="9492" operator="containsText" text="$H$10">
      <formula>NOT(ISERROR(SEARCH($H$10,E145)))</formula>
      <formula>$H$10</formula>
    </cfRule>
    <cfRule type="containsText" dxfId="7306" priority="9491" operator="containsText" text="$H$11">
      <formula>NOT(ISERROR(SEARCH($H$11,E145)))</formula>
      <formula>$H$11</formula>
    </cfRule>
    <cfRule type="containsText" dxfId="7305" priority="9490" operator="containsText" text="$H$12">
      <formula>NOT(ISERROR(SEARCH($H$12,E145)))</formula>
      <formula>$H$12</formula>
    </cfRule>
    <cfRule type="containsText" dxfId="7304" priority="9489" operator="containsText" text="$H$13">
      <formula>NOT(ISERROR(SEARCH($H$13,E145)))</formula>
      <formula>$H$13</formula>
    </cfRule>
  </conditionalFormatting>
  <conditionalFormatting sqref="E147">
    <cfRule type="containsText" dxfId="7303" priority="9488" operator="containsText" text="$H$7">
      <formula>NOT(ISERROR(SEARCH($H$7,E147)))</formula>
      <formula>$H$7</formula>
    </cfRule>
    <cfRule type="containsText" dxfId="7302" priority="9487" operator="containsText" text="$H$8">
      <formula>NOT(ISERROR(SEARCH($H$8,E147)))</formula>
      <formula>$H$8</formula>
    </cfRule>
    <cfRule type="containsText" dxfId="7301" priority="9486" operator="containsText" text="$H$8">
      <formula>NOT(ISERROR(SEARCH($H$8,E147)))</formula>
      <formula>$H$8</formula>
    </cfRule>
    <cfRule type="containsText" dxfId="7300" priority="9485" operator="containsText" text="$H$9">
      <formula>NOT(ISERROR(SEARCH($H$9,E147)))</formula>
      <formula>$H$9</formula>
    </cfRule>
    <cfRule type="containsText" dxfId="7299" priority="9484" operator="containsText" text="$H$10">
      <formula>NOT(ISERROR(SEARCH($H$10,E147)))</formula>
      <formula>$H$10</formula>
    </cfRule>
    <cfRule type="containsText" dxfId="7298" priority="9483" operator="containsText" text="$H$11">
      <formula>NOT(ISERROR(SEARCH($H$11,E147)))</formula>
      <formula>$H$11</formula>
    </cfRule>
    <cfRule type="containsText" dxfId="7297" priority="9482" operator="containsText" text="$H$12">
      <formula>NOT(ISERROR(SEARCH($H$12,E147)))</formula>
      <formula>$H$12</formula>
    </cfRule>
    <cfRule type="containsText" dxfId="7296" priority="9481" operator="containsText" text="$H$13">
      <formula>NOT(ISERROR(SEARCH($H$13,E147)))</formula>
      <formula>$H$13</formula>
    </cfRule>
  </conditionalFormatting>
  <conditionalFormatting sqref="B176:B183">
    <cfRule type="containsText" dxfId="7295" priority="9464" operator="containsText" text="$H$7">
      <formula>NOT(ISERROR(SEARCH($H$7,B176)))</formula>
      <formula>$H$7</formula>
    </cfRule>
    <cfRule type="containsText" dxfId="7294" priority="9463" operator="containsText" text="$H$8">
      <formula>NOT(ISERROR(SEARCH($H$8,B176)))</formula>
      <formula>$H$8</formula>
    </cfRule>
    <cfRule type="containsText" dxfId="7293" priority="9462" operator="containsText" text="$H$8">
      <formula>NOT(ISERROR(SEARCH($H$8,B176)))</formula>
      <formula>$H$8</formula>
    </cfRule>
    <cfRule type="containsText" dxfId="7292" priority="9461" operator="containsText" text="$H$9">
      <formula>NOT(ISERROR(SEARCH($H$9,B176)))</formula>
      <formula>$H$9</formula>
    </cfRule>
    <cfRule type="containsText" dxfId="7291" priority="9460" operator="containsText" text="$H$10">
      <formula>NOT(ISERROR(SEARCH($H$10,B176)))</formula>
      <formula>$H$10</formula>
    </cfRule>
    <cfRule type="containsText" dxfId="7290" priority="9459" operator="containsText" text="$H$11">
      <formula>NOT(ISERROR(SEARCH($H$11,B176)))</formula>
      <formula>$H$11</formula>
    </cfRule>
    <cfRule type="containsText" dxfId="7289" priority="9458" operator="containsText" text="$H$12">
      <formula>NOT(ISERROR(SEARCH($H$12,B176)))</formula>
      <formula>$H$12</formula>
    </cfRule>
    <cfRule type="containsText" dxfId="7288" priority="9457" operator="containsText" text="$H$13">
      <formula>NOT(ISERROR(SEARCH($H$13,B176)))</formula>
      <formula>$H$13</formula>
    </cfRule>
  </conditionalFormatting>
  <conditionalFormatting sqref="C168">
    <cfRule type="containsText" dxfId="7287" priority="9456" operator="containsText" text="$H$7">
      <formula>NOT(ISERROR(SEARCH($H$7,C168)))</formula>
      <formula>$H$7</formula>
    </cfRule>
    <cfRule type="containsText" dxfId="7286" priority="9455" operator="containsText" text="$H$8">
      <formula>NOT(ISERROR(SEARCH($H$8,C168)))</formula>
      <formula>$H$8</formula>
    </cfRule>
    <cfRule type="containsText" dxfId="7285" priority="9454" operator="containsText" text="$H$8">
      <formula>NOT(ISERROR(SEARCH($H$8,C168)))</formula>
      <formula>$H$8</formula>
    </cfRule>
    <cfRule type="containsText" dxfId="7284" priority="9453" operator="containsText" text="$H$9">
      <formula>NOT(ISERROR(SEARCH($H$9,C168)))</formula>
      <formula>$H$9</formula>
    </cfRule>
    <cfRule type="containsText" dxfId="7283" priority="9452" operator="containsText" text="$H$10">
      <formula>NOT(ISERROR(SEARCH($H$10,C168)))</formula>
      <formula>$H$10</formula>
    </cfRule>
    <cfRule type="containsText" dxfId="7282" priority="9451" operator="containsText" text="$H$11">
      <formula>NOT(ISERROR(SEARCH($H$11,C168)))</formula>
      <formula>$H$11</formula>
    </cfRule>
    <cfRule type="containsText" dxfId="7281" priority="9450" operator="containsText" text="$H$12">
      <formula>NOT(ISERROR(SEARCH($H$12,C168)))</formula>
      <formula>$H$12</formula>
    </cfRule>
    <cfRule type="containsText" dxfId="7280" priority="9449" operator="containsText" text="$H$13">
      <formula>NOT(ISERROR(SEARCH($H$13,C168)))</formula>
      <formula>$H$13</formula>
    </cfRule>
  </conditionalFormatting>
  <conditionalFormatting sqref="C186:C193">
    <cfRule type="containsText" dxfId="7279" priority="9448" operator="containsText" text="$H$7">
      <formula>NOT(ISERROR(SEARCH($H$7,C186)))</formula>
      <formula>$H$7</formula>
    </cfRule>
    <cfRule type="containsText" dxfId="7278" priority="9447" operator="containsText" text="$H$8">
      <formula>NOT(ISERROR(SEARCH($H$8,C186)))</formula>
      <formula>$H$8</formula>
    </cfRule>
    <cfRule type="containsText" dxfId="7277" priority="9446" operator="containsText" text="$H$8">
      <formula>NOT(ISERROR(SEARCH($H$8,C186)))</formula>
      <formula>$H$8</formula>
    </cfRule>
    <cfRule type="containsText" dxfId="7276" priority="9445" operator="containsText" text="$H$9">
      <formula>NOT(ISERROR(SEARCH($H$9,C186)))</formula>
      <formula>$H$9</formula>
    </cfRule>
    <cfRule type="containsText" dxfId="7275" priority="9444" operator="containsText" text="$H$10">
      <formula>NOT(ISERROR(SEARCH($H$10,C186)))</formula>
      <formula>$H$10</formula>
    </cfRule>
    <cfRule type="containsText" dxfId="7274" priority="9443" operator="containsText" text="$H$11">
      <formula>NOT(ISERROR(SEARCH($H$11,C186)))</formula>
      <formula>$H$11</formula>
    </cfRule>
    <cfRule type="containsText" dxfId="7273" priority="9442" operator="containsText" text="$H$12">
      <formula>NOT(ISERROR(SEARCH($H$12,C186)))</formula>
      <formula>$H$12</formula>
    </cfRule>
    <cfRule type="containsText" dxfId="7272" priority="9441" operator="containsText" text="$H$13">
      <formula>NOT(ISERROR(SEARCH($H$13,C186)))</formula>
      <formula>$H$13</formula>
    </cfRule>
  </conditionalFormatting>
  <conditionalFormatting sqref="C194:C201">
    <cfRule type="containsText" dxfId="7271" priority="9440" operator="containsText" text="$H$7">
      <formula>NOT(ISERROR(SEARCH($H$7,C194)))</formula>
      <formula>$H$7</formula>
    </cfRule>
    <cfRule type="containsText" dxfId="7270" priority="9439" operator="containsText" text="$H$8">
      <formula>NOT(ISERROR(SEARCH($H$8,C194)))</formula>
      <formula>$H$8</formula>
    </cfRule>
    <cfRule type="containsText" dxfId="7269" priority="9438" operator="containsText" text="$H$8">
      <formula>NOT(ISERROR(SEARCH($H$8,C194)))</formula>
      <formula>$H$8</formula>
    </cfRule>
    <cfRule type="containsText" dxfId="7268" priority="9437" operator="containsText" text="$H$9">
      <formula>NOT(ISERROR(SEARCH($H$9,C194)))</formula>
      <formula>$H$9</formula>
    </cfRule>
    <cfRule type="containsText" dxfId="7267" priority="9436" operator="containsText" text="$H$10">
      <formula>NOT(ISERROR(SEARCH($H$10,C194)))</formula>
      <formula>$H$10</formula>
    </cfRule>
    <cfRule type="containsText" dxfId="7266" priority="9435" operator="containsText" text="$H$11">
      <formula>NOT(ISERROR(SEARCH($H$11,C194)))</formula>
      <formula>$H$11</formula>
    </cfRule>
    <cfRule type="containsText" dxfId="7265" priority="9434" operator="containsText" text="$H$12">
      <formula>NOT(ISERROR(SEARCH($H$12,C194)))</formula>
      <formula>$H$12</formula>
    </cfRule>
    <cfRule type="containsText" dxfId="7264" priority="9433" operator="containsText" text="$H$13">
      <formula>NOT(ISERROR(SEARCH($H$13,C194)))</formula>
      <formula>$H$13</formula>
    </cfRule>
  </conditionalFormatting>
  <conditionalFormatting sqref="D194:D201">
    <cfRule type="containsText" dxfId="7263" priority="9432" operator="containsText" text="$H$7">
      <formula>NOT(ISERROR(SEARCH($H$7,D194)))</formula>
      <formula>$H$7</formula>
    </cfRule>
    <cfRule type="containsText" dxfId="7262" priority="9431" operator="containsText" text="$H$8">
      <formula>NOT(ISERROR(SEARCH($H$8,D194)))</formula>
      <formula>$H$8</formula>
    </cfRule>
    <cfRule type="containsText" dxfId="7261" priority="9430" operator="containsText" text="$H$8">
      <formula>NOT(ISERROR(SEARCH($H$8,D194)))</formula>
      <formula>$H$8</formula>
    </cfRule>
    <cfRule type="containsText" dxfId="7260" priority="9429" operator="containsText" text="$H$9">
      <formula>NOT(ISERROR(SEARCH($H$9,D194)))</formula>
      <formula>$H$9</formula>
    </cfRule>
    <cfRule type="containsText" dxfId="7259" priority="9428" operator="containsText" text="$H$10">
      <formula>NOT(ISERROR(SEARCH($H$10,D194)))</formula>
      <formula>$H$10</formula>
    </cfRule>
    <cfRule type="containsText" dxfId="7258" priority="9427" operator="containsText" text="$H$11">
      <formula>NOT(ISERROR(SEARCH($H$11,D194)))</formula>
      <formula>$H$11</formula>
    </cfRule>
    <cfRule type="containsText" dxfId="7257" priority="9426" operator="containsText" text="$H$12">
      <formula>NOT(ISERROR(SEARCH($H$12,D194)))</formula>
      <formula>$H$12</formula>
    </cfRule>
    <cfRule type="containsText" dxfId="7256" priority="9425" operator="containsText" text="$H$13">
      <formula>NOT(ISERROR(SEARCH($H$13,D194)))</formula>
      <formula>$H$13</formula>
    </cfRule>
  </conditionalFormatting>
  <conditionalFormatting sqref="D186:D193">
    <cfRule type="containsText" dxfId="7255" priority="9424" operator="containsText" text="$H$7">
      <formula>NOT(ISERROR(SEARCH($H$7,D186)))</formula>
      <formula>$H$7</formula>
    </cfRule>
    <cfRule type="containsText" dxfId="7254" priority="9423" operator="containsText" text="$H$8">
      <formula>NOT(ISERROR(SEARCH($H$8,D186)))</formula>
      <formula>$H$8</formula>
    </cfRule>
    <cfRule type="containsText" dxfId="7253" priority="9422" operator="containsText" text="$H$8">
      <formula>NOT(ISERROR(SEARCH($H$8,D186)))</formula>
      <formula>$H$8</formula>
    </cfRule>
    <cfRule type="containsText" dxfId="7252" priority="9421" operator="containsText" text="$H$9">
      <formula>NOT(ISERROR(SEARCH($H$9,D186)))</formula>
      <formula>$H$9</formula>
    </cfRule>
    <cfRule type="containsText" dxfId="7251" priority="9420" operator="containsText" text="$H$10">
      <formula>NOT(ISERROR(SEARCH($H$10,D186)))</formula>
      <formula>$H$10</formula>
    </cfRule>
    <cfRule type="containsText" dxfId="7250" priority="9419" operator="containsText" text="$H$11">
      <formula>NOT(ISERROR(SEARCH($H$11,D186)))</formula>
      <formula>$H$11</formula>
    </cfRule>
    <cfRule type="containsText" dxfId="7249" priority="9418" operator="containsText" text="$H$12">
      <formula>NOT(ISERROR(SEARCH($H$12,D186)))</formula>
      <formula>$H$12</formula>
    </cfRule>
    <cfRule type="containsText" dxfId="7248" priority="9417" operator="containsText" text="$H$13">
      <formula>NOT(ISERROR(SEARCH($H$13,D186)))</formula>
      <formula>$H$13</formula>
    </cfRule>
  </conditionalFormatting>
  <conditionalFormatting sqref="C204:C205">
    <cfRule type="containsText" dxfId="7247" priority="9416" operator="containsText" text="$H$7">
      <formula>NOT(ISERROR(SEARCH($H$7,C204)))</formula>
      <formula>$H$7</formula>
    </cfRule>
    <cfRule type="containsText" dxfId="7246" priority="9415" operator="containsText" text="$H$8">
      <formula>NOT(ISERROR(SEARCH($H$8,C204)))</formula>
      <formula>$H$8</formula>
    </cfRule>
    <cfRule type="containsText" dxfId="7245" priority="9414" operator="containsText" text="$H$8">
      <formula>NOT(ISERROR(SEARCH($H$8,C204)))</formula>
      <formula>$H$8</formula>
    </cfRule>
    <cfRule type="containsText" dxfId="7244" priority="9413" operator="containsText" text="$H$9">
      <formula>NOT(ISERROR(SEARCH($H$9,C204)))</formula>
      <formula>$H$9</formula>
    </cfRule>
    <cfRule type="containsText" dxfId="7243" priority="9412" operator="containsText" text="$H$10">
      <formula>NOT(ISERROR(SEARCH($H$10,C204)))</formula>
      <formula>$H$10</formula>
    </cfRule>
    <cfRule type="containsText" dxfId="7242" priority="9411" operator="containsText" text="$H$11">
      <formula>NOT(ISERROR(SEARCH($H$11,C204)))</formula>
      <formula>$H$11</formula>
    </cfRule>
    <cfRule type="containsText" dxfId="7241" priority="9410" operator="containsText" text="$H$12">
      <formula>NOT(ISERROR(SEARCH($H$12,C204)))</formula>
      <formula>$H$12</formula>
    </cfRule>
    <cfRule type="containsText" dxfId="7240" priority="9409" operator="containsText" text="$H$13">
      <formula>NOT(ISERROR(SEARCH($H$13,C204)))</formula>
      <formula>$H$13</formula>
    </cfRule>
  </conditionalFormatting>
  <conditionalFormatting sqref="D216:D217">
    <cfRule type="containsText" dxfId="7239" priority="9408" operator="containsText" text="$H$7">
      <formula>NOT(ISERROR(SEARCH($H$7,D216)))</formula>
      <formula>$H$7</formula>
    </cfRule>
    <cfRule type="containsText" dxfId="7238" priority="9407" operator="containsText" text="$H$8">
      <formula>NOT(ISERROR(SEARCH($H$8,D216)))</formula>
      <formula>$H$8</formula>
    </cfRule>
    <cfRule type="containsText" dxfId="7237" priority="9406" operator="containsText" text="$H$8">
      <formula>NOT(ISERROR(SEARCH($H$8,D216)))</formula>
      <formula>$H$8</formula>
    </cfRule>
    <cfRule type="containsText" dxfId="7236" priority="9405" operator="containsText" text="$H$9">
      <formula>NOT(ISERROR(SEARCH($H$9,D216)))</formula>
      <formula>$H$9</formula>
    </cfRule>
    <cfRule type="containsText" dxfId="7235" priority="9404" operator="containsText" text="$H$10">
      <formula>NOT(ISERROR(SEARCH($H$10,D216)))</formula>
      <formula>$H$10</formula>
    </cfRule>
    <cfRule type="containsText" dxfId="7234" priority="9403" operator="containsText" text="$H$11">
      <formula>NOT(ISERROR(SEARCH($H$11,D216)))</formula>
      <formula>$H$11</formula>
    </cfRule>
    <cfRule type="containsText" dxfId="7233" priority="9402" operator="containsText" text="$H$12">
      <formula>NOT(ISERROR(SEARCH($H$12,D216)))</formula>
      <formula>$H$12</formula>
    </cfRule>
    <cfRule type="containsText" dxfId="7232" priority="9401" operator="containsText" text="$H$13">
      <formula>NOT(ISERROR(SEARCH($H$13,D216)))</formula>
      <formula>$H$13</formula>
    </cfRule>
  </conditionalFormatting>
  <conditionalFormatting sqref="D218:D219">
    <cfRule type="containsText" dxfId="7231" priority="9400" operator="containsText" text="$H$7">
      <formula>NOT(ISERROR(SEARCH($H$7,D218)))</formula>
      <formula>$H$7</formula>
    </cfRule>
    <cfRule type="containsText" dxfId="7230" priority="9399" operator="containsText" text="$H$8">
      <formula>NOT(ISERROR(SEARCH($H$8,D218)))</formula>
      <formula>$H$8</formula>
    </cfRule>
    <cfRule type="containsText" dxfId="7229" priority="9398" operator="containsText" text="$H$8">
      <formula>NOT(ISERROR(SEARCH($H$8,D218)))</formula>
      <formula>$H$8</formula>
    </cfRule>
    <cfRule type="containsText" dxfId="7228" priority="9397" operator="containsText" text="$H$9">
      <formula>NOT(ISERROR(SEARCH($H$9,D218)))</formula>
      <formula>$H$9</formula>
    </cfRule>
    <cfRule type="containsText" dxfId="7227" priority="9396" operator="containsText" text="$H$10">
      <formula>NOT(ISERROR(SEARCH($H$10,D218)))</formula>
      <formula>$H$10</formula>
    </cfRule>
    <cfRule type="containsText" dxfId="7226" priority="9395" operator="containsText" text="$H$11">
      <formula>NOT(ISERROR(SEARCH($H$11,D218)))</formula>
      <formula>$H$11</formula>
    </cfRule>
    <cfRule type="containsText" dxfId="7225" priority="9394" operator="containsText" text="$H$12">
      <formula>NOT(ISERROR(SEARCH($H$12,D218)))</formula>
      <formula>$H$12</formula>
    </cfRule>
    <cfRule type="containsText" dxfId="7224" priority="9393" operator="containsText" text="$H$13">
      <formula>NOT(ISERROR(SEARCH($H$13,D218)))</formula>
      <formula>$H$13</formula>
    </cfRule>
  </conditionalFormatting>
  <conditionalFormatting sqref="E212:E219">
    <cfRule type="containsText" dxfId="7223" priority="9392" operator="containsText" text="$H$7">
      <formula>NOT(ISERROR(SEARCH($H$7,E212)))</formula>
      <formula>$H$7</formula>
    </cfRule>
    <cfRule type="containsText" dxfId="7222" priority="9391" operator="containsText" text="$H$8">
      <formula>NOT(ISERROR(SEARCH($H$8,E212)))</formula>
      <formula>$H$8</formula>
    </cfRule>
    <cfRule type="containsText" dxfId="7221" priority="9390" operator="containsText" text="$H$8">
      <formula>NOT(ISERROR(SEARCH($H$8,E212)))</formula>
      <formula>$H$8</formula>
    </cfRule>
    <cfRule type="containsText" dxfId="7220" priority="9389" operator="containsText" text="$H$9">
      <formula>NOT(ISERROR(SEARCH($H$9,E212)))</formula>
      <formula>$H$9</formula>
    </cfRule>
    <cfRule type="containsText" dxfId="7219" priority="9388" operator="containsText" text="$H$10">
      <formula>NOT(ISERROR(SEARCH($H$10,E212)))</formula>
      <formula>$H$10</formula>
    </cfRule>
    <cfRule type="containsText" dxfId="7218" priority="9387" operator="containsText" text="$H$11">
      <formula>NOT(ISERROR(SEARCH($H$11,E212)))</formula>
      <formula>$H$11</formula>
    </cfRule>
    <cfRule type="containsText" dxfId="7217" priority="9386" operator="containsText" text="$H$12">
      <formula>NOT(ISERROR(SEARCH($H$12,E212)))</formula>
      <formula>$H$12</formula>
    </cfRule>
    <cfRule type="containsText" dxfId="7216" priority="9385" operator="containsText" text="$H$13">
      <formula>NOT(ISERROR(SEARCH($H$13,E212)))</formula>
      <formula>$H$13</formula>
    </cfRule>
  </conditionalFormatting>
  <conditionalFormatting sqref="E204:E205">
    <cfRule type="containsText" dxfId="7215" priority="9384" operator="containsText" text="$H$7">
      <formula>NOT(ISERROR(SEARCH($H$7,E204)))</formula>
      <formula>$H$7</formula>
    </cfRule>
    <cfRule type="containsText" dxfId="7214" priority="9383" operator="containsText" text="$H$8">
      <formula>NOT(ISERROR(SEARCH($H$8,E204)))</formula>
      <formula>$H$8</formula>
    </cfRule>
    <cfRule type="containsText" dxfId="7213" priority="9382" operator="containsText" text="$H$8">
      <formula>NOT(ISERROR(SEARCH($H$8,E204)))</formula>
      <formula>$H$8</formula>
    </cfRule>
    <cfRule type="containsText" dxfId="7212" priority="9381" operator="containsText" text="$H$9">
      <formula>NOT(ISERROR(SEARCH($H$9,E204)))</formula>
      <formula>$H$9</formula>
    </cfRule>
    <cfRule type="containsText" dxfId="7211" priority="9380" operator="containsText" text="$H$10">
      <formula>NOT(ISERROR(SEARCH($H$10,E204)))</formula>
      <formula>$H$10</formula>
    </cfRule>
    <cfRule type="containsText" dxfId="7210" priority="9379" operator="containsText" text="$H$11">
      <formula>NOT(ISERROR(SEARCH($H$11,E204)))</formula>
      <formula>$H$11</formula>
    </cfRule>
    <cfRule type="containsText" dxfId="7209" priority="9378" operator="containsText" text="$H$12">
      <formula>NOT(ISERROR(SEARCH($H$12,E204)))</formula>
      <formula>$H$12</formula>
    </cfRule>
    <cfRule type="containsText" dxfId="7208" priority="9377" operator="containsText" text="$H$13">
      <formula>NOT(ISERROR(SEARCH($H$13,E204)))</formula>
      <formula>$H$13</formula>
    </cfRule>
  </conditionalFormatting>
  <conditionalFormatting sqref="E206:E207">
    <cfRule type="containsText" dxfId="7207" priority="9376" operator="containsText" text="$H$7">
      <formula>NOT(ISERROR(SEARCH($H$7,E206)))</formula>
      <formula>$H$7</formula>
    </cfRule>
    <cfRule type="containsText" dxfId="7206" priority="9375" operator="containsText" text="$H$8">
      <formula>NOT(ISERROR(SEARCH($H$8,E206)))</formula>
      <formula>$H$8</formula>
    </cfRule>
    <cfRule type="containsText" dxfId="7205" priority="9374" operator="containsText" text="$H$8">
      <formula>NOT(ISERROR(SEARCH($H$8,E206)))</formula>
      <formula>$H$8</formula>
    </cfRule>
    <cfRule type="containsText" dxfId="7204" priority="9373" operator="containsText" text="$H$9">
      <formula>NOT(ISERROR(SEARCH($H$9,E206)))</formula>
      <formula>$H$9</formula>
    </cfRule>
    <cfRule type="containsText" dxfId="7203" priority="9372" operator="containsText" text="$H$10">
      <formula>NOT(ISERROR(SEARCH($H$10,E206)))</formula>
      <formula>$H$10</formula>
    </cfRule>
    <cfRule type="containsText" dxfId="7202" priority="9371" operator="containsText" text="$H$11">
      <formula>NOT(ISERROR(SEARCH($H$11,E206)))</formula>
      <formula>$H$11</formula>
    </cfRule>
    <cfRule type="containsText" dxfId="7201" priority="9370" operator="containsText" text="$H$12">
      <formula>NOT(ISERROR(SEARCH($H$12,E206)))</formula>
      <formula>$H$12</formula>
    </cfRule>
    <cfRule type="containsText" dxfId="7200" priority="9369" operator="containsText" text="$H$13">
      <formula>NOT(ISERROR(SEARCH($H$13,E206)))</formula>
      <formula>$H$13</formula>
    </cfRule>
  </conditionalFormatting>
  <conditionalFormatting sqref="E208:E209">
    <cfRule type="containsText" dxfId="7199" priority="9368" operator="containsText" text="$H$7">
      <formula>NOT(ISERROR(SEARCH($H$7,E208)))</formula>
      <formula>$H$7</formula>
    </cfRule>
    <cfRule type="containsText" dxfId="7198" priority="9367" operator="containsText" text="$H$8">
      <formula>NOT(ISERROR(SEARCH($H$8,E208)))</formula>
      <formula>$H$8</formula>
    </cfRule>
    <cfRule type="containsText" dxfId="7197" priority="9366" operator="containsText" text="$H$8">
      <formula>NOT(ISERROR(SEARCH($H$8,E208)))</formula>
      <formula>$H$8</formula>
    </cfRule>
    <cfRule type="containsText" dxfId="7196" priority="9365" operator="containsText" text="$H$9">
      <formula>NOT(ISERROR(SEARCH($H$9,E208)))</formula>
      <formula>$H$9</formula>
    </cfRule>
    <cfRule type="containsText" dxfId="7195" priority="9364" operator="containsText" text="$H$10">
      <formula>NOT(ISERROR(SEARCH($H$10,E208)))</formula>
      <formula>$H$10</formula>
    </cfRule>
    <cfRule type="containsText" dxfId="7194" priority="9363" operator="containsText" text="$H$11">
      <formula>NOT(ISERROR(SEARCH($H$11,E208)))</formula>
      <formula>$H$11</formula>
    </cfRule>
    <cfRule type="containsText" dxfId="7193" priority="9362" operator="containsText" text="$H$12">
      <formula>NOT(ISERROR(SEARCH($H$12,E208)))</formula>
      <formula>$H$12</formula>
    </cfRule>
    <cfRule type="containsText" dxfId="7192" priority="9361" operator="containsText" text="$H$13">
      <formula>NOT(ISERROR(SEARCH($H$13,E208)))</formula>
      <formula>$H$13</formula>
    </cfRule>
  </conditionalFormatting>
  <conditionalFormatting sqref="E210:E211">
    <cfRule type="containsText" dxfId="7191" priority="9360" operator="containsText" text="$H$7">
      <formula>NOT(ISERROR(SEARCH($H$7,E210)))</formula>
      <formula>$H$7</formula>
    </cfRule>
    <cfRule type="containsText" dxfId="7190" priority="9359" operator="containsText" text="$H$8">
      <formula>NOT(ISERROR(SEARCH($H$8,E210)))</formula>
      <formula>$H$8</formula>
    </cfRule>
    <cfRule type="containsText" dxfId="7189" priority="9358" operator="containsText" text="$H$8">
      <formula>NOT(ISERROR(SEARCH($H$8,E210)))</formula>
      <formula>$H$8</formula>
    </cfRule>
    <cfRule type="containsText" dxfId="7188" priority="9357" operator="containsText" text="$H$9">
      <formula>NOT(ISERROR(SEARCH($H$9,E210)))</formula>
      <formula>$H$9</formula>
    </cfRule>
    <cfRule type="containsText" dxfId="7187" priority="9356" operator="containsText" text="$H$10">
      <formula>NOT(ISERROR(SEARCH($H$10,E210)))</formula>
      <formula>$H$10</formula>
    </cfRule>
    <cfRule type="containsText" dxfId="7186" priority="9355" operator="containsText" text="$H$11">
      <formula>NOT(ISERROR(SEARCH($H$11,E210)))</formula>
      <formula>$H$11</formula>
    </cfRule>
    <cfRule type="containsText" dxfId="7185" priority="9354" operator="containsText" text="$H$12">
      <formula>NOT(ISERROR(SEARCH($H$12,E210)))</formula>
      <formula>$H$12</formula>
    </cfRule>
    <cfRule type="containsText" dxfId="7184" priority="9353" operator="containsText" text="$H$13">
      <formula>NOT(ISERROR(SEARCH($H$13,E210)))</formula>
      <formula>$H$13</formula>
    </cfRule>
  </conditionalFormatting>
  <conditionalFormatting sqref="F186:F189">
    <cfRule type="containsText" dxfId="7183" priority="9352" operator="containsText" text="$H$7">
      <formula>NOT(ISERROR(SEARCH($H$7,F186)))</formula>
      <formula>$H$7</formula>
    </cfRule>
    <cfRule type="containsText" dxfId="7182" priority="9351" operator="containsText" text="$H$8">
      <formula>NOT(ISERROR(SEARCH($H$8,F186)))</formula>
      <formula>$H$8</formula>
    </cfRule>
    <cfRule type="containsText" dxfId="7181" priority="9350" operator="containsText" text="$H$8">
      <formula>NOT(ISERROR(SEARCH($H$8,F186)))</formula>
      <formula>$H$8</formula>
    </cfRule>
    <cfRule type="containsText" dxfId="7180" priority="9349" operator="containsText" text="$H$9">
      <formula>NOT(ISERROR(SEARCH($H$9,F186)))</formula>
      <formula>$H$9</formula>
    </cfRule>
    <cfRule type="containsText" dxfId="7179" priority="9348" operator="containsText" text="$H$10">
      <formula>NOT(ISERROR(SEARCH($H$10,F186)))</formula>
      <formula>$H$10</formula>
    </cfRule>
    <cfRule type="containsText" dxfId="7178" priority="9347" operator="containsText" text="$H$11">
      <formula>NOT(ISERROR(SEARCH($H$11,F186)))</formula>
      <formula>$H$11</formula>
    </cfRule>
    <cfRule type="containsText" dxfId="7177" priority="9346" operator="containsText" text="$H$12">
      <formula>NOT(ISERROR(SEARCH($H$12,F186)))</formula>
      <formula>$H$12</formula>
    </cfRule>
    <cfRule type="containsText" dxfId="7176" priority="9345" operator="containsText" text="$H$13">
      <formula>NOT(ISERROR(SEARCH($H$13,F186)))</formula>
      <formula>$H$13</formula>
    </cfRule>
  </conditionalFormatting>
  <conditionalFormatting sqref="E230:E237">
    <cfRule type="containsText" dxfId="7175" priority="9344" operator="containsText" text="$H$7">
      <formula>NOT(ISERROR(SEARCH($H$7,E230)))</formula>
      <formula>$H$7</formula>
    </cfRule>
    <cfRule type="containsText" dxfId="7174" priority="9343" operator="containsText" text="$H$8">
      <formula>NOT(ISERROR(SEARCH($H$8,E230)))</formula>
      <formula>$H$8</formula>
    </cfRule>
    <cfRule type="containsText" dxfId="7173" priority="9342" operator="containsText" text="$H$8">
      <formula>NOT(ISERROR(SEARCH($H$8,E230)))</formula>
      <formula>$H$8</formula>
    </cfRule>
    <cfRule type="containsText" dxfId="7172" priority="9341" operator="containsText" text="$H$9">
      <formula>NOT(ISERROR(SEARCH($H$9,E230)))</formula>
      <formula>$H$9</formula>
    </cfRule>
    <cfRule type="containsText" dxfId="7171" priority="9340" operator="containsText" text="$H$10">
      <formula>NOT(ISERROR(SEARCH($H$10,E230)))</formula>
      <formula>$H$10</formula>
    </cfRule>
    <cfRule type="containsText" dxfId="7170" priority="9339" operator="containsText" text="$H$11">
      <formula>NOT(ISERROR(SEARCH($H$11,E230)))</formula>
      <formula>$H$11</formula>
    </cfRule>
    <cfRule type="containsText" dxfId="7169" priority="9338" operator="containsText" text="$H$12">
      <formula>NOT(ISERROR(SEARCH($H$12,E230)))</formula>
      <formula>$H$12</formula>
    </cfRule>
    <cfRule type="containsText" dxfId="7168" priority="9337" operator="containsText" text="$H$13">
      <formula>NOT(ISERROR(SEARCH($H$13,E230)))</formula>
      <formula>$H$13</formula>
    </cfRule>
  </conditionalFormatting>
  <conditionalFormatting sqref="C222:C229">
    <cfRule type="containsText" dxfId="7167" priority="9336" operator="containsText" text="$H$7">
      <formula>NOT(ISERROR(SEARCH($H$7,C222)))</formula>
      <formula>$H$7</formula>
    </cfRule>
    <cfRule type="containsText" dxfId="7166" priority="9335" operator="containsText" text="$H$8">
      <formula>NOT(ISERROR(SEARCH($H$8,C222)))</formula>
      <formula>$H$8</formula>
    </cfRule>
    <cfRule type="containsText" dxfId="7165" priority="9334" operator="containsText" text="$H$8">
      <formula>NOT(ISERROR(SEARCH($H$8,C222)))</formula>
      <formula>$H$8</formula>
    </cfRule>
    <cfRule type="containsText" dxfId="7164" priority="9333" operator="containsText" text="$H$9">
      <formula>NOT(ISERROR(SEARCH($H$9,C222)))</formula>
      <formula>$H$9</formula>
    </cfRule>
    <cfRule type="containsText" dxfId="7163" priority="9332" operator="containsText" text="$H$10">
      <formula>NOT(ISERROR(SEARCH($H$10,C222)))</formula>
      <formula>$H$10</formula>
    </cfRule>
    <cfRule type="containsText" dxfId="7162" priority="9331" operator="containsText" text="$H$11">
      <formula>NOT(ISERROR(SEARCH($H$11,C222)))</formula>
      <formula>$H$11</formula>
    </cfRule>
    <cfRule type="containsText" dxfId="7161" priority="9330" operator="containsText" text="$H$12">
      <formula>NOT(ISERROR(SEARCH($H$12,C222)))</formula>
      <formula>$H$12</formula>
    </cfRule>
    <cfRule type="containsText" dxfId="7160" priority="9329" operator="containsText" text="$H$13">
      <formula>NOT(ISERROR(SEARCH($H$13,C222)))</formula>
      <formula>$H$13</formula>
    </cfRule>
  </conditionalFormatting>
  <conditionalFormatting sqref="E222:E229">
    <cfRule type="containsText" dxfId="7159" priority="9328" operator="containsText" text="$H$7">
      <formula>NOT(ISERROR(SEARCH($H$7,E222)))</formula>
      <formula>$H$7</formula>
    </cfRule>
    <cfRule type="containsText" dxfId="7158" priority="9327" operator="containsText" text="$H$8">
      <formula>NOT(ISERROR(SEARCH($H$8,E222)))</formula>
      <formula>$H$8</formula>
    </cfRule>
    <cfRule type="containsText" dxfId="7157" priority="9326" operator="containsText" text="$H$8">
      <formula>NOT(ISERROR(SEARCH($H$8,E222)))</formula>
      <formula>$H$8</formula>
    </cfRule>
    <cfRule type="containsText" dxfId="7156" priority="9325" operator="containsText" text="$H$9">
      <formula>NOT(ISERROR(SEARCH($H$9,E222)))</formula>
      <formula>$H$9</formula>
    </cfRule>
    <cfRule type="containsText" dxfId="7155" priority="9324" operator="containsText" text="$H$10">
      <formula>NOT(ISERROR(SEARCH($H$10,E222)))</formula>
      <formula>$H$10</formula>
    </cfRule>
    <cfRule type="containsText" dxfId="7154" priority="9323" operator="containsText" text="$H$11">
      <formula>NOT(ISERROR(SEARCH($H$11,E222)))</formula>
      <formula>$H$11</formula>
    </cfRule>
    <cfRule type="containsText" dxfId="7153" priority="9322" operator="containsText" text="$H$12">
      <formula>NOT(ISERROR(SEARCH($H$12,E222)))</formula>
      <formula>$H$12</formula>
    </cfRule>
    <cfRule type="containsText" dxfId="7152" priority="9321" operator="containsText" text="$H$13">
      <formula>NOT(ISERROR(SEARCH($H$13,E222)))</formula>
      <formula>$H$13</formula>
    </cfRule>
  </conditionalFormatting>
  <conditionalFormatting sqref="C240:C247">
    <cfRule type="containsText" dxfId="7151" priority="9320" operator="containsText" text="$H$7">
      <formula>NOT(ISERROR(SEARCH($H$7,C240)))</formula>
      <formula>$H$7</formula>
    </cfRule>
    <cfRule type="containsText" dxfId="7150" priority="9319" operator="containsText" text="$H$8">
      <formula>NOT(ISERROR(SEARCH($H$8,C240)))</formula>
      <formula>$H$8</formula>
    </cfRule>
    <cfRule type="containsText" dxfId="7149" priority="9318" operator="containsText" text="$H$8">
      <formula>NOT(ISERROR(SEARCH($H$8,C240)))</formula>
      <formula>$H$8</formula>
    </cfRule>
    <cfRule type="containsText" dxfId="7148" priority="9317" operator="containsText" text="$H$9">
      <formula>NOT(ISERROR(SEARCH($H$9,C240)))</formula>
      <formula>$H$9</formula>
    </cfRule>
    <cfRule type="containsText" dxfId="7147" priority="9316" operator="containsText" text="$H$10">
      <formula>NOT(ISERROR(SEARCH($H$10,C240)))</formula>
      <formula>$H$10</formula>
    </cfRule>
    <cfRule type="containsText" dxfId="7146" priority="9315" operator="containsText" text="$H$11">
      <formula>NOT(ISERROR(SEARCH($H$11,C240)))</formula>
      <formula>$H$11</formula>
    </cfRule>
    <cfRule type="containsText" dxfId="7145" priority="9314" operator="containsText" text="$H$12">
      <formula>NOT(ISERROR(SEARCH($H$12,C240)))</formula>
      <formula>$H$12</formula>
    </cfRule>
    <cfRule type="containsText" dxfId="7144" priority="9313" operator="containsText" text="$H$13">
      <formula>NOT(ISERROR(SEARCH($H$13,C240)))</formula>
      <formula>$H$13</formula>
    </cfRule>
  </conditionalFormatting>
  <conditionalFormatting sqref="E240:E247">
    <cfRule type="containsText" dxfId="7143" priority="9312" operator="containsText" text="$H$7">
      <formula>NOT(ISERROR(SEARCH($H$7,E240)))</formula>
      <formula>$H$7</formula>
    </cfRule>
    <cfRule type="containsText" dxfId="7142" priority="9311" operator="containsText" text="$H$8">
      <formula>NOT(ISERROR(SEARCH($H$8,E240)))</formula>
      <formula>$H$8</formula>
    </cfRule>
    <cfRule type="containsText" dxfId="7141" priority="9310" operator="containsText" text="$H$8">
      <formula>NOT(ISERROR(SEARCH($H$8,E240)))</formula>
      <formula>$H$8</formula>
    </cfRule>
    <cfRule type="containsText" dxfId="7140" priority="9309" operator="containsText" text="$H$9">
      <formula>NOT(ISERROR(SEARCH($H$9,E240)))</formula>
      <formula>$H$9</formula>
    </cfRule>
    <cfRule type="containsText" dxfId="7139" priority="9308" operator="containsText" text="$H$10">
      <formula>NOT(ISERROR(SEARCH($H$10,E240)))</formula>
      <formula>$H$10</formula>
    </cfRule>
    <cfRule type="containsText" dxfId="7138" priority="9307" operator="containsText" text="$H$11">
      <formula>NOT(ISERROR(SEARCH($H$11,E240)))</formula>
      <formula>$H$11</formula>
    </cfRule>
    <cfRule type="containsText" dxfId="7137" priority="9306" operator="containsText" text="$H$12">
      <formula>NOT(ISERROR(SEARCH($H$12,E240)))</formula>
      <formula>$H$12</formula>
    </cfRule>
    <cfRule type="containsText" dxfId="7136" priority="9305" operator="containsText" text="$H$13">
      <formula>NOT(ISERROR(SEARCH($H$13,E240)))</formula>
      <formula>$H$13</formula>
    </cfRule>
  </conditionalFormatting>
  <conditionalFormatting sqref="C230:C237">
    <cfRule type="containsText" dxfId="7135" priority="9304" operator="containsText" text="$H$7">
      <formula>NOT(ISERROR(SEARCH($H$7,C230)))</formula>
      <formula>$H$7</formula>
    </cfRule>
    <cfRule type="containsText" dxfId="7134" priority="9303" operator="containsText" text="$H$8">
      <formula>NOT(ISERROR(SEARCH($H$8,C230)))</formula>
      <formula>$H$8</formula>
    </cfRule>
    <cfRule type="containsText" dxfId="7133" priority="9302" operator="containsText" text="$H$8">
      <formula>NOT(ISERROR(SEARCH($H$8,C230)))</formula>
      <formula>$H$8</formula>
    </cfRule>
    <cfRule type="containsText" dxfId="7132" priority="9301" operator="containsText" text="$H$9">
      <formula>NOT(ISERROR(SEARCH($H$9,C230)))</formula>
      <formula>$H$9</formula>
    </cfRule>
    <cfRule type="containsText" dxfId="7131" priority="9300" operator="containsText" text="$H$10">
      <formula>NOT(ISERROR(SEARCH($H$10,C230)))</formula>
      <formula>$H$10</formula>
    </cfRule>
    <cfRule type="containsText" dxfId="7130" priority="9299" operator="containsText" text="$H$11">
      <formula>NOT(ISERROR(SEARCH($H$11,C230)))</formula>
      <formula>$H$11</formula>
    </cfRule>
    <cfRule type="containsText" dxfId="7129" priority="9298" operator="containsText" text="$H$12">
      <formula>NOT(ISERROR(SEARCH($H$12,C230)))</formula>
      <formula>$H$12</formula>
    </cfRule>
    <cfRule type="containsText" dxfId="7128" priority="9297" operator="containsText" text="$H$13">
      <formula>NOT(ISERROR(SEARCH($H$13,C230)))</formula>
      <formula>$H$13</formula>
    </cfRule>
  </conditionalFormatting>
  <conditionalFormatting sqref="C248:C255">
    <cfRule type="containsText" dxfId="7127" priority="9296" operator="containsText" text="$H$7">
      <formula>NOT(ISERROR(SEARCH($H$7,C248)))</formula>
      <formula>$H$7</formula>
    </cfRule>
    <cfRule type="containsText" dxfId="7126" priority="9295" operator="containsText" text="$H$8">
      <formula>NOT(ISERROR(SEARCH($H$8,C248)))</formula>
      <formula>$H$8</formula>
    </cfRule>
    <cfRule type="containsText" dxfId="7125" priority="9294" operator="containsText" text="$H$8">
      <formula>NOT(ISERROR(SEARCH($H$8,C248)))</formula>
      <formula>$H$8</formula>
    </cfRule>
    <cfRule type="containsText" dxfId="7124" priority="9293" operator="containsText" text="$H$9">
      <formula>NOT(ISERROR(SEARCH($H$9,C248)))</formula>
      <formula>$H$9</formula>
    </cfRule>
    <cfRule type="containsText" dxfId="7123" priority="9292" operator="containsText" text="$H$10">
      <formula>NOT(ISERROR(SEARCH($H$10,C248)))</formula>
      <formula>$H$10</formula>
    </cfRule>
    <cfRule type="containsText" dxfId="7122" priority="9291" operator="containsText" text="$H$11">
      <formula>NOT(ISERROR(SEARCH($H$11,C248)))</formula>
      <formula>$H$11</formula>
    </cfRule>
    <cfRule type="containsText" dxfId="7121" priority="9290" operator="containsText" text="$H$12">
      <formula>NOT(ISERROR(SEARCH($H$12,C248)))</formula>
      <formula>$H$12</formula>
    </cfRule>
    <cfRule type="containsText" dxfId="7120" priority="9289" operator="containsText" text="$H$13">
      <formula>NOT(ISERROR(SEARCH($H$13,C248)))</formula>
      <formula>$H$13</formula>
    </cfRule>
  </conditionalFormatting>
  <conditionalFormatting sqref="E248:E255">
    <cfRule type="containsText" dxfId="7119" priority="9288" operator="containsText" text="$H$7">
      <formula>NOT(ISERROR(SEARCH($H$7,E248)))</formula>
      <formula>$H$7</formula>
    </cfRule>
    <cfRule type="containsText" dxfId="7118" priority="9287" operator="containsText" text="$H$8">
      <formula>NOT(ISERROR(SEARCH($H$8,E248)))</formula>
      <formula>$H$8</formula>
    </cfRule>
    <cfRule type="containsText" dxfId="7117" priority="9286" operator="containsText" text="$H$8">
      <formula>NOT(ISERROR(SEARCH($H$8,E248)))</formula>
      <formula>$H$8</formula>
    </cfRule>
    <cfRule type="containsText" dxfId="7116" priority="9285" operator="containsText" text="$H$9">
      <formula>NOT(ISERROR(SEARCH($H$9,E248)))</formula>
      <formula>$H$9</formula>
    </cfRule>
    <cfRule type="containsText" dxfId="7115" priority="9284" operator="containsText" text="$H$10">
      <formula>NOT(ISERROR(SEARCH($H$10,E248)))</formula>
      <formula>$H$10</formula>
    </cfRule>
    <cfRule type="containsText" dxfId="7114" priority="9283" operator="containsText" text="$H$11">
      <formula>NOT(ISERROR(SEARCH($H$11,E248)))</formula>
      <formula>$H$11</formula>
    </cfRule>
    <cfRule type="containsText" dxfId="7113" priority="9282" operator="containsText" text="$H$12">
      <formula>NOT(ISERROR(SEARCH($H$12,E248)))</formula>
      <formula>$H$12</formula>
    </cfRule>
    <cfRule type="containsText" dxfId="7112" priority="9281" operator="containsText" text="$H$13">
      <formula>NOT(ISERROR(SEARCH($H$13,E248)))</formula>
      <formula>$H$13</formula>
    </cfRule>
  </conditionalFormatting>
  <conditionalFormatting sqref="E256">
    <cfRule type="containsText" dxfId="7111" priority="9280" operator="containsText" text="$H$7">
      <formula>NOT(ISERROR(SEARCH($H$7,E256)))</formula>
      <formula>$H$7</formula>
    </cfRule>
    <cfRule type="containsText" dxfId="7110" priority="9279" operator="containsText" text="$H$8">
      <formula>NOT(ISERROR(SEARCH($H$8,E256)))</formula>
      <formula>$H$8</formula>
    </cfRule>
    <cfRule type="containsText" dxfId="7109" priority="9278" operator="containsText" text="$H$8">
      <formula>NOT(ISERROR(SEARCH($H$8,E256)))</formula>
      <formula>$H$8</formula>
    </cfRule>
    <cfRule type="containsText" dxfId="7108" priority="9277" operator="containsText" text="$H$9">
      <formula>NOT(ISERROR(SEARCH($H$9,E256)))</formula>
      <formula>$H$9</formula>
    </cfRule>
    <cfRule type="containsText" dxfId="7107" priority="9276" operator="containsText" text="$H$10">
      <formula>NOT(ISERROR(SEARCH($H$10,E256)))</formula>
      <formula>$H$10</formula>
    </cfRule>
    <cfRule type="containsText" dxfId="7106" priority="9275" operator="containsText" text="$H$11">
      <formula>NOT(ISERROR(SEARCH($H$11,E256)))</formula>
      <formula>$H$11</formula>
    </cfRule>
    <cfRule type="containsText" dxfId="7105" priority="9274" operator="containsText" text="$H$12">
      <formula>NOT(ISERROR(SEARCH($H$12,E256)))</formula>
      <formula>$H$12</formula>
    </cfRule>
    <cfRule type="containsText" dxfId="7104" priority="9273" operator="containsText" text="$H$13">
      <formula>NOT(ISERROR(SEARCH($H$13,E256)))</formula>
      <formula>$H$13</formula>
    </cfRule>
  </conditionalFormatting>
  <conditionalFormatting sqref="E266:E273">
    <cfRule type="containsText" dxfId="7103" priority="9272" operator="containsText" text="$H$7">
      <formula>NOT(ISERROR(SEARCH($H$7,E266)))</formula>
      <formula>$H$7</formula>
    </cfRule>
    <cfRule type="containsText" dxfId="7102" priority="9271" operator="containsText" text="$H$8">
      <formula>NOT(ISERROR(SEARCH($H$8,E266)))</formula>
      <formula>$H$8</formula>
    </cfRule>
    <cfRule type="containsText" dxfId="7101" priority="9270" operator="containsText" text="$H$8">
      <formula>NOT(ISERROR(SEARCH($H$8,E266)))</formula>
      <formula>$H$8</formula>
    </cfRule>
    <cfRule type="containsText" dxfId="7100" priority="9269" operator="containsText" text="$H$9">
      <formula>NOT(ISERROR(SEARCH($H$9,E266)))</formula>
      <formula>$H$9</formula>
    </cfRule>
    <cfRule type="containsText" dxfId="7099" priority="9268" operator="containsText" text="$H$10">
      <formula>NOT(ISERROR(SEARCH($H$10,E266)))</formula>
      <formula>$H$10</formula>
    </cfRule>
    <cfRule type="containsText" dxfId="7098" priority="9267" operator="containsText" text="$H$11">
      <formula>NOT(ISERROR(SEARCH($H$11,E266)))</formula>
      <formula>$H$11</formula>
    </cfRule>
    <cfRule type="containsText" dxfId="7097" priority="9266" operator="containsText" text="$H$12">
      <formula>NOT(ISERROR(SEARCH($H$12,E266)))</formula>
      <formula>$H$12</formula>
    </cfRule>
    <cfRule type="containsText" dxfId="7096" priority="9265" operator="containsText" text="$H$13">
      <formula>NOT(ISERROR(SEARCH($H$13,E266)))</formula>
      <formula>$H$13</formula>
    </cfRule>
  </conditionalFormatting>
  <conditionalFormatting sqref="C266:C273">
    <cfRule type="containsText" dxfId="7095" priority="9264" operator="containsText" text="$H$7">
      <formula>NOT(ISERROR(SEARCH($H$7,C266)))</formula>
      <formula>$H$7</formula>
    </cfRule>
    <cfRule type="containsText" dxfId="7094" priority="9263" operator="containsText" text="$H$8">
      <formula>NOT(ISERROR(SEARCH($H$8,C266)))</formula>
      <formula>$H$8</formula>
    </cfRule>
    <cfRule type="containsText" dxfId="7093" priority="9262" operator="containsText" text="$H$8">
      <formula>NOT(ISERROR(SEARCH($H$8,C266)))</formula>
      <formula>$H$8</formula>
    </cfRule>
    <cfRule type="containsText" dxfId="7092" priority="9261" operator="containsText" text="$H$9">
      <formula>NOT(ISERROR(SEARCH($H$9,C266)))</formula>
      <formula>$H$9</formula>
    </cfRule>
    <cfRule type="containsText" dxfId="7091" priority="9260" operator="containsText" text="$H$10">
      <formula>NOT(ISERROR(SEARCH($H$10,C266)))</formula>
      <formula>$H$10</formula>
    </cfRule>
    <cfRule type="containsText" dxfId="7090" priority="9259" operator="containsText" text="$H$11">
      <formula>NOT(ISERROR(SEARCH($H$11,C266)))</formula>
      <formula>$H$11</formula>
    </cfRule>
    <cfRule type="containsText" dxfId="7089" priority="9258" operator="containsText" text="$H$12">
      <formula>NOT(ISERROR(SEARCH($H$12,C266)))</formula>
      <formula>$H$12</formula>
    </cfRule>
    <cfRule type="containsText" dxfId="7088" priority="9257" operator="containsText" text="$H$13">
      <formula>NOT(ISERROR(SEARCH($H$13,C266)))</formula>
      <formula>$H$13</formula>
    </cfRule>
  </conditionalFormatting>
  <conditionalFormatting sqref="C258:C265">
    <cfRule type="containsText" dxfId="7087" priority="9256" operator="containsText" text="$H$7">
      <formula>NOT(ISERROR(SEARCH($H$7,C258)))</formula>
      <formula>$H$7</formula>
    </cfRule>
    <cfRule type="containsText" dxfId="7086" priority="9255" operator="containsText" text="$H$8">
      <formula>NOT(ISERROR(SEARCH($H$8,C258)))</formula>
      <formula>$H$8</formula>
    </cfRule>
    <cfRule type="containsText" dxfId="7085" priority="9254" operator="containsText" text="$H$8">
      <formula>NOT(ISERROR(SEARCH($H$8,C258)))</formula>
      <formula>$H$8</formula>
    </cfRule>
    <cfRule type="containsText" dxfId="7084" priority="9253" operator="containsText" text="$H$9">
      <formula>NOT(ISERROR(SEARCH($H$9,C258)))</formula>
      <formula>$H$9</formula>
    </cfRule>
    <cfRule type="containsText" dxfId="7083" priority="9252" operator="containsText" text="$H$10">
      <formula>NOT(ISERROR(SEARCH($H$10,C258)))</formula>
      <formula>$H$10</formula>
    </cfRule>
    <cfRule type="containsText" dxfId="7082" priority="9251" operator="containsText" text="$H$11">
      <formula>NOT(ISERROR(SEARCH($H$11,C258)))</formula>
      <formula>$H$11</formula>
    </cfRule>
    <cfRule type="containsText" dxfId="7081" priority="9250" operator="containsText" text="$H$12">
      <formula>NOT(ISERROR(SEARCH($H$12,C258)))</formula>
      <formula>$H$12</formula>
    </cfRule>
    <cfRule type="containsText" dxfId="7080" priority="9249" operator="containsText" text="$H$13">
      <formula>NOT(ISERROR(SEARCH($H$13,C258)))</formula>
      <formula>$H$13</formula>
    </cfRule>
  </conditionalFormatting>
  <conditionalFormatting sqref="E258:E265">
    <cfRule type="containsText" dxfId="7079" priority="9248" operator="containsText" text="$H$7">
      <formula>NOT(ISERROR(SEARCH($H$7,E258)))</formula>
      <formula>$H$7</formula>
    </cfRule>
    <cfRule type="containsText" dxfId="7078" priority="9247" operator="containsText" text="$H$8">
      <formula>NOT(ISERROR(SEARCH($H$8,E258)))</formula>
      <formula>$H$8</formula>
    </cfRule>
    <cfRule type="containsText" dxfId="7077" priority="9246" operator="containsText" text="$H$8">
      <formula>NOT(ISERROR(SEARCH($H$8,E258)))</formula>
      <formula>$H$8</formula>
    </cfRule>
    <cfRule type="containsText" dxfId="7076" priority="9245" operator="containsText" text="$H$9">
      <formula>NOT(ISERROR(SEARCH($H$9,E258)))</formula>
      <formula>$H$9</formula>
    </cfRule>
    <cfRule type="containsText" dxfId="7075" priority="9244" operator="containsText" text="$H$10">
      <formula>NOT(ISERROR(SEARCH($H$10,E258)))</formula>
      <formula>$H$10</formula>
    </cfRule>
    <cfRule type="containsText" dxfId="7074" priority="9243" operator="containsText" text="$H$11">
      <formula>NOT(ISERROR(SEARCH($H$11,E258)))</formula>
      <formula>$H$11</formula>
    </cfRule>
    <cfRule type="containsText" dxfId="7073" priority="9242" operator="containsText" text="$H$12">
      <formula>NOT(ISERROR(SEARCH($H$12,E258)))</formula>
      <formula>$H$12</formula>
    </cfRule>
    <cfRule type="containsText" dxfId="7072" priority="9241" operator="containsText" text="$H$13">
      <formula>NOT(ISERROR(SEARCH($H$13,E258)))</formula>
      <formula>$H$13</formula>
    </cfRule>
  </conditionalFormatting>
  <conditionalFormatting sqref="C284:C291">
    <cfRule type="containsText" dxfId="7071" priority="9240" operator="containsText" text="$H$7">
      <formula>NOT(ISERROR(SEARCH($H$7,C284)))</formula>
      <formula>$H$7</formula>
    </cfRule>
    <cfRule type="containsText" dxfId="7070" priority="9239" operator="containsText" text="$H$8">
      <formula>NOT(ISERROR(SEARCH($H$8,C284)))</formula>
      <formula>$H$8</formula>
    </cfRule>
    <cfRule type="containsText" dxfId="7069" priority="9238" operator="containsText" text="$H$8">
      <formula>NOT(ISERROR(SEARCH($H$8,C284)))</formula>
      <formula>$H$8</formula>
    </cfRule>
    <cfRule type="containsText" dxfId="7068" priority="9237" operator="containsText" text="$H$9">
      <formula>NOT(ISERROR(SEARCH($H$9,C284)))</formula>
      <formula>$H$9</formula>
    </cfRule>
    <cfRule type="containsText" dxfId="7067" priority="9236" operator="containsText" text="$H$10">
      <formula>NOT(ISERROR(SEARCH($H$10,C284)))</formula>
      <formula>$H$10</formula>
    </cfRule>
    <cfRule type="containsText" dxfId="7066" priority="9235" operator="containsText" text="$H$11">
      <formula>NOT(ISERROR(SEARCH($H$11,C284)))</formula>
      <formula>$H$11</formula>
    </cfRule>
    <cfRule type="containsText" dxfId="7065" priority="9234" operator="containsText" text="$H$12">
      <formula>NOT(ISERROR(SEARCH($H$12,C284)))</formula>
      <formula>$H$12</formula>
    </cfRule>
    <cfRule type="containsText" dxfId="7064" priority="9233" operator="containsText" text="$H$13">
      <formula>NOT(ISERROR(SEARCH($H$13,C284)))</formula>
      <formula>$H$13</formula>
    </cfRule>
  </conditionalFormatting>
  <conditionalFormatting sqref="C276:C283">
    <cfRule type="containsText" dxfId="7063" priority="9232" operator="containsText" text="$H$7">
      <formula>NOT(ISERROR(SEARCH($H$7,C276)))</formula>
      <formula>$H$7</formula>
    </cfRule>
    <cfRule type="containsText" dxfId="7062" priority="9231" operator="containsText" text="$H$8">
      <formula>NOT(ISERROR(SEARCH($H$8,C276)))</formula>
      <formula>$H$8</formula>
    </cfRule>
    <cfRule type="containsText" dxfId="7061" priority="9230" operator="containsText" text="$H$8">
      <formula>NOT(ISERROR(SEARCH($H$8,C276)))</formula>
      <formula>$H$8</formula>
    </cfRule>
    <cfRule type="containsText" dxfId="7060" priority="9229" operator="containsText" text="$H$9">
      <formula>NOT(ISERROR(SEARCH($H$9,C276)))</formula>
      <formula>$H$9</formula>
    </cfRule>
    <cfRule type="containsText" dxfId="7059" priority="9228" operator="containsText" text="$H$10">
      <formula>NOT(ISERROR(SEARCH($H$10,C276)))</formula>
      <formula>$H$10</formula>
    </cfRule>
    <cfRule type="containsText" dxfId="7058" priority="9227" operator="containsText" text="$H$11">
      <formula>NOT(ISERROR(SEARCH($H$11,C276)))</formula>
      <formula>$H$11</formula>
    </cfRule>
    <cfRule type="containsText" dxfId="7057" priority="9226" operator="containsText" text="$H$12">
      <formula>NOT(ISERROR(SEARCH($H$12,C276)))</formula>
      <formula>$H$12</formula>
    </cfRule>
    <cfRule type="containsText" dxfId="7056" priority="9225" operator="containsText" text="$H$13">
      <formula>NOT(ISERROR(SEARCH($H$13,C276)))</formula>
      <formula>$H$13</formula>
    </cfRule>
  </conditionalFormatting>
  <conditionalFormatting sqref="E276:E283">
    <cfRule type="containsText" dxfId="7055" priority="9224" operator="containsText" text="$H$7">
      <formula>NOT(ISERROR(SEARCH($H$7,E276)))</formula>
      <formula>$H$7</formula>
    </cfRule>
    <cfRule type="containsText" dxfId="7054" priority="9223" operator="containsText" text="$H$8">
      <formula>NOT(ISERROR(SEARCH($H$8,E276)))</formula>
      <formula>$H$8</formula>
    </cfRule>
    <cfRule type="containsText" dxfId="7053" priority="9222" operator="containsText" text="$H$8">
      <formula>NOT(ISERROR(SEARCH($H$8,E276)))</formula>
      <formula>$H$8</formula>
    </cfRule>
    <cfRule type="containsText" dxfId="7052" priority="9221" operator="containsText" text="$H$9">
      <formula>NOT(ISERROR(SEARCH($H$9,E276)))</formula>
      <formula>$H$9</formula>
    </cfRule>
    <cfRule type="containsText" dxfId="7051" priority="9220" operator="containsText" text="$H$10">
      <formula>NOT(ISERROR(SEARCH($H$10,E276)))</formula>
      <formula>$H$10</formula>
    </cfRule>
    <cfRule type="containsText" dxfId="7050" priority="9219" operator="containsText" text="$H$11">
      <formula>NOT(ISERROR(SEARCH($H$11,E276)))</formula>
      <formula>$H$11</formula>
    </cfRule>
    <cfRule type="containsText" dxfId="7049" priority="9218" operator="containsText" text="$H$12">
      <formula>NOT(ISERROR(SEARCH($H$12,E276)))</formula>
      <formula>$H$12</formula>
    </cfRule>
    <cfRule type="containsText" dxfId="7048" priority="9217" operator="containsText" text="$H$13">
      <formula>NOT(ISERROR(SEARCH($H$13,E276)))</formula>
      <formula>$H$13</formula>
    </cfRule>
  </conditionalFormatting>
  <conditionalFormatting sqref="F204:F205">
    <cfRule type="containsText" dxfId="7047" priority="9216" operator="containsText" text="$H$7">
      <formula>NOT(ISERROR(SEARCH($H$7,F204)))</formula>
      <formula>$H$7</formula>
    </cfRule>
    <cfRule type="containsText" dxfId="7046" priority="9215" operator="containsText" text="$H$8">
      <formula>NOT(ISERROR(SEARCH($H$8,F204)))</formula>
      <formula>$H$8</formula>
    </cfRule>
    <cfRule type="containsText" dxfId="7045" priority="9214" operator="containsText" text="$H$8">
      <formula>NOT(ISERROR(SEARCH($H$8,F204)))</formula>
      <formula>$H$8</formula>
    </cfRule>
    <cfRule type="containsText" dxfId="7044" priority="9213" operator="containsText" text="$H$9">
      <formula>NOT(ISERROR(SEARCH($H$9,F204)))</formula>
      <formula>$H$9</formula>
    </cfRule>
    <cfRule type="containsText" dxfId="7043" priority="9212" operator="containsText" text="$H$10">
      <formula>NOT(ISERROR(SEARCH($H$10,F204)))</formula>
      <formula>$H$10</formula>
    </cfRule>
    <cfRule type="containsText" dxfId="7042" priority="9211" operator="containsText" text="$H$11">
      <formula>NOT(ISERROR(SEARCH($H$11,F204)))</formula>
      <formula>$H$11</formula>
    </cfRule>
    <cfRule type="containsText" dxfId="7041" priority="9210" operator="containsText" text="$H$12">
      <formula>NOT(ISERROR(SEARCH($H$12,F204)))</formula>
      <formula>$H$12</formula>
    </cfRule>
    <cfRule type="containsText" dxfId="7040" priority="9209" operator="containsText" text="$H$13">
      <formula>NOT(ISERROR(SEARCH($H$13,F204)))</formula>
      <formula>$H$13</formula>
    </cfRule>
  </conditionalFormatting>
  <conditionalFormatting sqref="F206:F207">
    <cfRule type="containsText" dxfId="7039" priority="9208" operator="containsText" text="$H$7">
      <formula>NOT(ISERROR(SEARCH($H$7,F206)))</formula>
      <formula>$H$7</formula>
    </cfRule>
    <cfRule type="containsText" dxfId="7038" priority="9207" operator="containsText" text="$H$8">
      <formula>NOT(ISERROR(SEARCH($H$8,F206)))</formula>
      <formula>$H$8</formula>
    </cfRule>
    <cfRule type="containsText" dxfId="7037" priority="9206" operator="containsText" text="$H$8">
      <formula>NOT(ISERROR(SEARCH($H$8,F206)))</formula>
      <formula>$H$8</formula>
    </cfRule>
    <cfRule type="containsText" dxfId="7036" priority="9205" operator="containsText" text="$H$9">
      <formula>NOT(ISERROR(SEARCH($H$9,F206)))</formula>
      <formula>$H$9</formula>
    </cfRule>
    <cfRule type="containsText" dxfId="7035" priority="9204" operator="containsText" text="$H$10">
      <formula>NOT(ISERROR(SEARCH($H$10,F206)))</formula>
      <formula>$H$10</formula>
    </cfRule>
    <cfRule type="containsText" dxfId="7034" priority="9203" operator="containsText" text="$H$11">
      <formula>NOT(ISERROR(SEARCH($H$11,F206)))</formula>
      <formula>$H$11</formula>
    </cfRule>
    <cfRule type="containsText" dxfId="7033" priority="9202" operator="containsText" text="$H$12">
      <formula>NOT(ISERROR(SEARCH($H$12,F206)))</formula>
      <formula>$H$12</formula>
    </cfRule>
    <cfRule type="containsText" dxfId="7032" priority="9201" operator="containsText" text="$H$13">
      <formula>NOT(ISERROR(SEARCH($H$13,F206)))</formula>
      <formula>$H$13</formula>
    </cfRule>
  </conditionalFormatting>
  <conditionalFormatting sqref="C159 C161 C163 C165">
    <cfRule type="containsText" dxfId="7031" priority="9200" operator="containsText" text="=">
      <formula>"="</formula>
      <formula>$H$7</formula>
    </cfRule>
    <cfRule type="containsText" dxfId="7030" priority="9199" operator="containsText" text="=">
      <formula>"="</formula>
      <formula>$H$8</formula>
    </cfRule>
    <cfRule type="containsText" dxfId="7029" priority="9198" operator="containsText" text="=">
      <formula>"="</formula>
      <formula>$H$8</formula>
    </cfRule>
    <cfRule type="containsText" dxfId="7028" priority="9197" operator="containsText" text="=">
      <formula>"="</formula>
      <formula>$H$9</formula>
    </cfRule>
    <cfRule type="containsText" dxfId="7027" priority="9196" operator="containsText" text="=">
      <formula>"="</formula>
      <formula>$H$10</formula>
    </cfRule>
    <cfRule type="containsText" dxfId="7026" priority="9195" operator="containsText" text="=">
      <formula>"="</formula>
      <formula>$H$11</formula>
    </cfRule>
    <cfRule type="containsText" dxfId="7025" priority="9194" operator="containsText" text="=">
      <formula>"="</formula>
      <formula>$H$12</formula>
    </cfRule>
    <cfRule type="containsText" dxfId="7024" priority="9193" operator="containsText" text="=">
      <formula>"="</formula>
      <formula>$H$13</formula>
    </cfRule>
  </conditionalFormatting>
  <conditionalFormatting sqref="E158:E165">
    <cfRule type="containsText" dxfId="7023" priority="9192" operator="containsText" text="$H$7">
      <formula>NOT(ISERROR(SEARCH($H$7,E158)))</formula>
      <formula>$H$7</formula>
    </cfRule>
    <cfRule type="containsText" dxfId="7022" priority="9191" operator="containsText" text="$H$8">
      <formula>NOT(ISERROR(SEARCH($H$8,E158)))</formula>
      <formula>$H$8</formula>
    </cfRule>
    <cfRule type="containsText" dxfId="7021" priority="9190" operator="containsText" text="$H$8">
      <formula>NOT(ISERROR(SEARCH($H$8,E158)))</formula>
      <formula>$H$8</formula>
    </cfRule>
    <cfRule type="containsText" dxfId="7020" priority="9189" operator="containsText" text="$H$9">
      <formula>NOT(ISERROR(SEARCH($H$9,E158)))</formula>
      <formula>$H$9</formula>
    </cfRule>
    <cfRule type="containsText" dxfId="7019" priority="9188" operator="containsText" text="$H$10">
      <formula>NOT(ISERROR(SEARCH($H$10,E158)))</formula>
      <formula>$H$10</formula>
    </cfRule>
    <cfRule type="containsText" dxfId="7018" priority="9187" operator="containsText" text="$H$11">
      <formula>NOT(ISERROR(SEARCH($H$11,E158)))</formula>
      <formula>$H$11</formula>
    </cfRule>
    <cfRule type="containsText" dxfId="7017" priority="9186" operator="containsText" text="$H$12">
      <formula>NOT(ISERROR(SEARCH($H$12,E158)))</formula>
      <formula>$H$12</formula>
    </cfRule>
    <cfRule type="containsText" dxfId="7016" priority="9185" operator="containsText" text="$H$13">
      <formula>NOT(ISERROR(SEARCH($H$13,E158)))</formula>
      <formula>$H$13</formula>
    </cfRule>
  </conditionalFormatting>
  <conditionalFormatting sqref="E194:E201">
    <cfRule type="containsText" dxfId="7015" priority="9176" operator="containsText" text="$H$7">
      <formula>NOT(ISERROR(SEARCH($H$7,E194)))</formula>
      <formula>$H$7</formula>
    </cfRule>
    <cfRule type="containsText" dxfId="7014" priority="9175" operator="containsText" text="$H$8">
      <formula>NOT(ISERROR(SEARCH($H$8,E194)))</formula>
      <formula>$H$8</formula>
    </cfRule>
    <cfRule type="containsText" dxfId="7013" priority="9174" operator="containsText" text="$H$8">
      <formula>NOT(ISERROR(SEARCH($H$8,E194)))</formula>
      <formula>$H$8</formula>
    </cfRule>
    <cfRule type="containsText" dxfId="7012" priority="9173" operator="containsText" text="$H$9">
      <formula>NOT(ISERROR(SEARCH($H$9,E194)))</formula>
      <formula>$H$9</formula>
    </cfRule>
    <cfRule type="containsText" dxfId="7011" priority="9172" operator="containsText" text="$H$10">
      <formula>NOT(ISERROR(SEARCH($H$10,E194)))</formula>
      <formula>$H$10</formula>
    </cfRule>
    <cfRule type="containsText" dxfId="7010" priority="9171" operator="containsText" text="$H$11">
      <formula>NOT(ISERROR(SEARCH($H$11,E194)))</formula>
      <formula>$H$11</formula>
    </cfRule>
    <cfRule type="containsText" dxfId="7009" priority="9170" operator="containsText" text="$H$12">
      <formula>NOT(ISERROR(SEARCH($H$12,E194)))</formula>
      <formula>$H$12</formula>
    </cfRule>
    <cfRule type="containsText" dxfId="7008" priority="9169" operator="containsText" text="$H$13">
      <formula>NOT(ISERROR(SEARCH($H$13,E194)))</formula>
      <formula>$H$13</formula>
    </cfRule>
  </conditionalFormatting>
  <conditionalFormatting sqref="B206:B211">
    <cfRule type="containsText" dxfId="7007" priority="9168" operator="containsText" text="$H$7">
      <formula>NOT(ISERROR(SEARCH($H$7,B206)))</formula>
      <formula>$H$7</formula>
    </cfRule>
    <cfRule type="containsText" dxfId="7006" priority="9167" operator="containsText" text="$H$8">
      <formula>NOT(ISERROR(SEARCH($H$8,B206)))</formula>
      <formula>$H$8</formula>
    </cfRule>
    <cfRule type="containsText" dxfId="7005" priority="9166" operator="containsText" text="$H$8">
      <formula>NOT(ISERROR(SEARCH($H$8,B206)))</formula>
      <formula>$H$8</formula>
    </cfRule>
    <cfRule type="containsText" dxfId="7004" priority="9165" operator="containsText" text="$H$9">
      <formula>NOT(ISERROR(SEARCH($H$9,B206)))</formula>
      <formula>$H$9</formula>
    </cfRule>
    <cfRule type="containsText" dxfId="7003" priority="9164" operator="containsText" text="$H$10">
      <formula>NOT(ISERROR(SEARCH($H$10,B206)))</formula>
      <formula>$H$10</formula>
    </cfRule>
    <cfRule type="containsText" dxfId="7002" priority="9163" operator="containsText" text="$H$11">
      <formula>NOT(ISERROR(SEARCH($H$11,B206)))</formula>
      <formula>$H$11</formula>
    </cfRule>
    <cfRule type="containsText" dxfId="7001" priority="9162" operator="containsText" text="$H$12">
      <formula>NOT(ISERROR(SEARCH($H$12,B206)))</formula>
      <formula>$H$12</formula>
    </cfRule>
    <cfRule type="containsText" dxfId="7000" priority="9161" operator="containsText" text="$H$13">
      <formula>NOT(ISERROR(SEARCH($H$13,B206)))</formula>
      <formula>$H$13</formula>
    </cfRule>
  </conditionalFormatting>
  <conditionalFormatting sqref="B204:B205">
    <cfRule type="containsText" dxfId="6999" priority="9160" operator="containsText" text="$H$7">
      <formula>NOT(ISERROR(SEARCH($H$7,B204)))</formula>
      <formula>$H$7</formula>
    </cfRule>
    <cfRule type="containsText" dxfId="6998" priority="9159" operator="containsText" text="$H$8">
      <formula>NOT(ISERROR(SEARCH($H$8,B204)))</formula>
      <formula>$H$8</formula>
    </cfRule>
    <cfRule type="containsText" dxfId="6997" priority="9158" operator="containsText" text="$H$8">
      <formula>NOT(ISERROR(SEARCH($H$8,B204)))</formula>
      <formula>$H$8</formula>
    </cfRule>
    <cfRule type="containsText" dxfId="6996" priority="9157" operator="containsText" text="$H$9">
      <formula>NOT(ISERROR(SEARCH($H$9,B204)))</formula>
      <formula>$H$9</formula>
    </cfRule>
    <cfRule type="containsText" dxfId="6995" priority="9156" operator="containsText" text="$H$10">
      <formula>NOT(ISERROR(SEARCH($H$10,B204)))</formula>
      <formula>$H$10</formula>
    </cfRule>
    <cfRule type="containsText" dxfId="6994" priority="9155" operator="containsText" text="$H$11">
      <formula>NOT(ISERROR(SEARCH($H$11,B204)))</formula>
      <formula>$H$11</formula>
    </cfRule>
    <cfRule type="containsText" dxfId="6993" priority="9154" operator="containsText" text="$H$12">
      <formula>NOT(ISERROR(SEARCH($H$12,B204)))</formula>
      <formula>$H$12</formula>
    </cfRule>
    <cfRule type="containsText" dxfId="6992" priority="9153" operator="containsText" text="$H$13">
      <formula>NOT(ISERROR(SEARCH($H$13,B204)))</formula>
      <formula>$H$13</formula>
    </cfRule>
  </conditionalFormatting>
  <conditionalFormatting sqref="B216:B219">
    <cfRule type="containsText" dxfId="6991" priority="9152" operator="containsText" text="$H$7">
      <formula>NOT(ISERROR(SEARCH($H$7,B216)))</formula>
      <formula>$H$7</formula>
    </cfRule>
    <cfRule type="containsText" dxfId="6990" priority="9151" operator="containsText" text="$H$8">
      <formula>NOT(ISERROR(SEARCH($H$8,B216)))</formula>
      <formula>$H$8</formula>
    </cfRule>
    <cfRule type="containsText" dxfId="6989" priority="9150" operator="containsText" text="$H$8">
      <formula>NOT(ISERROR(SEARCH($H$8,B216)))</formula>
      <formula>$H$8</formula>
    </cfRule>
    <cfRule type="containsText" dxfId="6988" priority="9149" operator="containsText" text="$H$9">
      <formula>NOT(ISERROR(SEARCH($H$9,B216)))</formula>
      <formula>$H$9</formula>
    </cfRule>
    <cfRule type="containsText" dxfId="6987" priority="9148" operator="containsText" text="$H$10">
      <formula>NOT(ISERROR(SEARCH($H$10,B216)))</formula>
      <formula>$H$10</formula>
    </cfRule>
    <cfRule type="containsText" dxfId="6986" priority="9147" operator="containsText" text="$H$11">
      <formula>NOT(ISERROR(SEARCH($H$11,B216)))</formula>
      <formula>$H$11</formula>
    </cfRule>
    <cfRule type="containsText" dxfId="6985" priority="9146" operator="containsText" text="$H$12">
      <formula>NOT(ISERROR(SEARCH($H$12,B216)))</formula>
      <formula>$H$12</formula>
    </cfRule>
    <cfRule type="containsText" dxfId="6984" priority="9145" operator="containsText" text="$H$13">
      <formula>NOT(ISERROR(SEARCH($H$13,B216)))</formula>
      <formula>$H$13</formula>
    </cfRule>
  </conditionalFormatting>
  <conditionalFormatting sqref="B212:B215">
    <cfRule type="containsText" dxfId="6983" priority="9144" operator="containsText" text="$H$7">
      <formula>NOT(ISERROR(SEARCH($H$7,B212)))</formula>
      <formula>$H$7</formula>
    </cfRule>
    <cfRule type="containsText" dxfId="6982" priority="9143" operator="containsText" text="$H$8">
      <formula>NOT(ISERROR(SEARCH($H$8,B212)))</formula>
      <formula>$H$8</formula>
    </cfRule>
    <cfRule type="containsText" dxfId="6981" priority="9142" operator="containsText" text="$H$8">
      <formula>NOT(ISERROR(SEARCH($H$8,B212)))</formula>
      <formula>$H$8</formula>
    </cfRule>
    <cfRule type="containsText" dxfId="6980" priority="9141" operator="containsText" text="$H$9">
      <formula>NOT(ISERROR(SEARCH($H$9,B212)))</formula>
      <formula>$H$9</formula>
    </cfRule>
    <cfRule type="containsText" dxfId="6979" priority="9140" operator="containsText" text="$H$10">
      <formula>NOT(ISERROR(SEARCH($H$10,B212)))</formula>
      <formula>$H$10</formula>
    </cfRule>
    <cfRule type="containsText" dxfId="6978" priority="9139" operator="containsText" text="$H$11">
      <formula>NOT(ISERROR(SEARCH($H$11,B212)))</formula>
      <formula>$H$11</formula>
    </cfRule>
    <cfRule type="containsText" dxfId="6977" priority="9138" operator="containsText" text="$H$12">
      <formula>NOT(ISERROR(SEARCH($H$12,B212)))</formula>
      <formula>$H$12</formula>
    </cfRule>
    <cfRule type="containsText" dxfId="6976" priority="9137" operator="containsText" text="$H$13">
      <formula>NOT(ISERROR(SEARCH($H$13,B212)))</formula>
      <formula>$H$13</formula>
    </cfRule>
  </conditionalFormatting>
  <conditionalFormatting sqref="F190:F193">
    <cfRule type="containsText" dxfId="6975" priority="9136" operator="containsText" text="$H$7">
      <formula>NOT(ISERROR(SEARCH($H$7,F190)))</formula>
      <formula>$H$7</formula>
    </cfRule>
    <cfRule type="containsText" dxfId="6974" priority="9135" operator="containsText" text="$H$8">
      <formula>NOT(ISERROR(SEARCH($H$8,F190)))</formula>
      <formula>$H$8</formula>
    </cfRule>
    <cfRule type="containsText" dxfId="6973" priority="9134" operator="containsText" text="$H$8">
      <formula>NOT(ISERROR(SEARCH($H$8,F190)))</formula>
      <formula>$H$8</formula>
    </cfRule>
    <cfRule type="containsText" dxfId="6972" priority="9133" operator="containsText" text="$H$9">
      <formula>NOT(ISERROR(SEARCH($H$9,F190)))</formula>
      <formula>$H$9</formula>
    </cfRule>
    <cfRule type="containsText" dxfId="6971" priority="9132" operator="containsText" text="$H$10">
      <formula>NOT(ISERROR(SEARCH($H$10,F190)))</formula>
      <formula>$H$10</formula>
    </cfRule>
    <cfRule type="containsText" dxfId="6970" priority="9131" operator="containsText" text="$H$11">
      <formula>NOT(ISERROR(SEARCH($H$11,F190)))</formula>
      <formula>$H$11</formula>
    </cfRule>
    <cfRule type="containsText" dxfId="6969" priority="9130" operator="containsText" text="$H$12">
      <formula>NOT(ISERROR(SEARCH($H$12,F190)))</formula>
      <formula>$H$12</formula>
    </cfRule>
    <cfRule type="containsText" dxfId="6968" priority="9129" operator="containsText" text="$H$13">
      <formula>NOT(ISERROR(SEARCH($H$13,F190)))</formula>
      <formula>$H$13</formula>
    </cfRule>
  </conditionalFormatting>
  <conditionalFormatting sqref="F194:F201">
    <cfRule type="containsText" dxfId="6967" priority="9128" operator="containsText" text="$H$7">
      <formula>NOT(ISERROR(SEARCH($H$7,F194)))</formula>
      <formula>$H$7</formula>
    </cfRule>
    <cfRule type="containsText" dxfId="6966" priority="9127" operator="containsText" text="$H$8">
      <formula>NOT(ISERROR(SEARCH($H$8,F194)))</formula>
      <formula>$H$8</formula>
    </cfRule>
    <cfRule type="containsText" dxfId="6965" priority="9126" operator="containsText" text="$H$8">
      <formula>NOT(ISERROR(SEARCH($H$8,F194)))</formula>
      <formula>$H$8</formula>
    </cfRule>
    <cfRule type="containsText" dxfId="6964" priority="9125" operator="containsText" text="$H$9">
      <formula>NOT(ISERROR(SEARCH($H$9,F194)))</formula>
      <formula>$H$9</formula>
    </cfRule>
    <cfRule type="containsText" dxfId="6963" priority="9124" operator="containsText" text="$H$10">
      <formula>NOT(ISERROR(SEARCH($H$10,F194)))</formula>
      <formula>$H$10</formula>
    </cfRule>
    <cfRule type="containsText" dxfId="6962" priority="9123" operator="containsText" text="$H$11">
      <formula>NOT(ISERROR(SEARCH($H$11,F194)))</formula>
      <formula>$H$11</formula>
    </cfRule>
    <cfRule type="containsText" dxfId="6961" priority="9122" operator="containsText" text="$H$12">
      <formula>NOT(ISERROR(SEARCH($H$12,F194)))</formula>
      <formula>$H$12</formula>
    </cfRule>
    <cfRule type="containsText" dxfId="6960" priority="9121" operator="containsText" text="$H$13">
      <formula>NOT(ISERROR(SEARCH($H$13,F194)))</formula>
      <formula>$H$13</formula>
    </cfRule>
  </conditionalFormatting>
  <conditionalFormatting sqref="F208:F209">
    <cfRule type="containsText" dxfId="6959" priority="9120" operator="containsText" text="$H$7">
      <formula>NOT(ISERROR(SEARCH($H$7,F208)))</formula>
      <formula>$H$7</formula>
    </cfRule>
    <cfRule type="containsText" dxfId="6958" priority="9119" operator="containsText" text="$H$8">
      <formula>NOT(ISERROR(SEARCH($H$8,F208)))</formula>
      <formula>$H$8</formula>
    </cfRule>
    <cfRule type="containsText" dxfId="6957" priority="9118" operator="containsText" text="$H$8">
      <formula>NOT(ISERROR(SEARCH($H$8,F208)))</formula>
      <formula>$H$8</formula>
    </cfRule>
    <cfRule type="containsText" dxfId="6956" priority="9117" operator="containsText" text="$H$9">
      <formula>NOT(ISERROR(SEARCH($H$9,F208)))</formula>
      <formula>$H$9</formula>
    </cfRule>
    <cfRule type="containsText" dxfId="6955" priority="9116" operator="containsText" text="$H$10">
      <formula>NOT(ISERROR(SEARCH($H$10,F208)))</formula>
      <formula>$H$10</formula>
    </cfRule>
    <cfRule type="containsText" dxfId="6954" priority="9115" operator="containsText" text="$H$11">
      <formula>NOT(ISERROR(SEARCH($H$11,F208)))</formula>
      <formula>$H$11</formula>
    </cfRule>
    <cfRule type="containsText" dxfId="6953" priority="9114" operator="containsText" text="$H$12">
      <formula>NOT(ISERROR(SEARCH($H$12,F208)))</formula>
      <formula>$H$12</formula>
    </cfRule>
    <cfRule type="containsText" dxfId="6952" priority="9113" operator="containsText" text="$H$13">
      <formula>NOT(ISERROR(SEARCH($H$13,F208)))</formula>
      <formula>$H$13</formula>
    </cfRule>
  </conditionalFormatting>
  <conditionalFormatting sqref="F210:F211">
    <cfRule type="containsText" dxfId="6951" priority="9112" operator="containsText" text="$H$7">
      <formula>NOT(ISERROR(SEARCH($H$7,F210)))</formula>
      <formula>$H$7</formula>
    </cfRule>
    <cfRule type="containsText" dxfId="6950" priority="9111" operator="containsText" text="$H$8">
      <formula>NOT(ISERROR(SEARCH($H$8,F210)))</formula>
      <formula>$H$8</formula>
    </cfRule>
    <cfRule type="containsText" dxfId="6949" priority="9110" operator="containsText" text="$H$8">
      <formula>NOT(ISERROR(SEARCH($H$8,F210)))</formula>
      <formula>$H$8</formula>
    </cfRule>
    <cfRule type="containsText" dxfId="6948" priority="9109" operator="containsText" text="$H$9">
      <formula>NOT(ISERROR(SEARCH($H$9,F210)))</formula>
      <formula>$H$9</formula>
    </cfRule>
    <cfRule type="containsText" dxfId="6947" priority="9108" operator="containsText" text="$H$10">
      <formula>NOT(ISERROR(SEARCH($H$10,F210)))</formula>
      <formula>$H$10</formula>
    </cfRule>
    <cfRule type="containsText" dxfId="6946" priority="9107" operator="containsText" text="$H$11">
      <formula>NOT(ISERROR(SEARCH($H$11,F210)))</formula>
      <formula>$H$11</formula>
    </cfRule>
    <cfRule type="containsText" dxfId="6945" priority="9106" operator="containsText" text="$H$12">
      <formula>NOT(ISERROR(SEARCH($H$12,F210)))</formula>
      <formula>$H$12</formula>
    </cfRule>
    <cfRule type="containsText" dxfId="6944" priority="9105" operator="containsText" text="$H$13">
      <formula>NOT(ISERROR(SEARCH($H$13,F210)))</formula>
      <formula>$H$13</formula>
    </cfRule>
  </conditionalFormatting>
  <conditionalFormatting sqref="F212:F213">
    <cfRule type="containsText" dxfId="6943" priority="9104" operator="containsText" text="$H$7">
      <formula>NOT(ISERROR(SEARCH($H$7,F212)))</formula>
      <formula>$H$7</formula>
    </cfRule>
    <cfRule type="containsText" dxfId="6942" priority="9103" operator="containsText" text="$H$8">
      <formula>NOT(ISERROR(SEARCH($H$8,F212)))</formula>
      <formula>$H$8</formula>
    </cfRule>
    <cfRule type="containsText" dxfId="6941" priority="9102" operator="containsText" text="$H$8">
      <formula>NOT(ISERROR(SEARCH($H$8,F212)))</formula>
      <formula>$H$8</formula>
    </cfRule>
    <cfRule type="containsText" dxfId="6940" priority="9101" operator="containsText" text="$H$9">
      <formula>NOT(ISERROR(SEARCH($H$9,F212)))</formula>
      <formula>$H$9</formula>
    </cfRule>
    <cfRule type="containsText" dxfId="6939" priority="9100" operator="containsText" text="$H$10">
      <formula>NOT(ISERROR(SEARCH($H$10,F212)))</formula>
      <formula>$H$10</formula>
    </cfRule>
    <cfRule type="containsText" dxfId="6938" priority="9099" operator="containsText" text="$H$11">
      <formula>NOT(ISERROR(SEARCH($H$11,F212)))</formula>
      <formula>$H$11</formula>
    </cfRule>
    <cfRule type="containsText" dxfId="6937" priority="9098" operator="containsText" text="$H$12">
      <formula>NOT(ISERROR(SEARCH($H$12,F212)))</formula>
      <formula>$H$12</formula>
    </cfRule>
    <cfRule type="containsText" dxfId="6936" priority="9097" operator="containsText" text="$H$13">
      <formula>NOT(ISERROR(SEARCH($H$13,F212)))</formula>
      <formula>$H$13</formula>
    </cfRule>
  </conditionalFormatting>
  <conditionalFormatting sqref="F214:F215">
    <cfRule type="containsText" dxfId="6935" priority="9096" operator="containsText" text="$H$7">
      <formula>NOT(ISERROR(SEARCH($H$7,F214)))</formula>
      <formula>$H$7</formula>
    </cfRule>
    <cfRule type="containsText" dxfId="6934" priority="9095" operator="containsText" text="$H$8">
      <formula>NOT(ISERROR(SEARCH($H$8,F214)))</formula>
      <formula>$H$8</formula>
    </cfRule>
    <cfRule type="containsText" dxfId="6933" priority="9094" operator="containsText" text="$H$8">
      <formula>NOT(ISERROR(SEARCH($H$8,F214)))</formula>
      <formula>$H$8</formula>
    </cfRule>
    <cfRule type="containsText" dxfId="6932" priority="9093" operator="containsText" text="$H$9">
      <formula>NOT(ISERROR(SEARCH($H$9,F214)))</formula>
      <formula>$H$9</formula>
    </cfRule>
    <cfRule type="containsText" dxfId="6931" priority="9092" operator="containsText" text="$H$10">
      <formula>NOT(ISERROR(SEARCH($H$10,F214)))</formula>
      <formula>$H$10</formula>
    </cfRule>
    <cfRule type="containsText" dxfId="6930" priority="9091" operator="containsText" text="$H$11">
      <formula>NOT(ISERROR(SEARCH($H$11,F214)))</formula>
      <formula>$H$11</formula>
    </cfRule>
    <cfRule type="containsText" dxfId="6929" priority="9090" operator="containsText" text="$H$12">
      <formula>NOT(ISERROR(SEARCH($H$12,F214)))</formula>
      <formula>$H$12</formula>
    </cfRule>
    <cfRule type="containsText" dxfId="6928" priority="9089" operator="containsText" text="$H$13">
      <formula>NOT(ISERROR(SEARCH($H$13,F214)))</formula>
      <formula>$H$13</formula>
    </cfRule>
  </conditionalFormatting>
  <conditionalFormatting sqref="F216:F217">
    <cfRule type="containsText" dxfId="6927" priority="9088" operator="containsText" text="$H$7">
      <formula>NOT(ISERROR(SEARCH($H$7,F216)))</formula>
      <formula>$H$7</formula>
    </cfRule>
    <cfRule type="containsText" dxfId="6926" priority="9087" operator="containsText" text="$H$8">
      <formula>NOT(ISERROR(SEARCH($H$8,F216)))</formula>
      <formula>$H$8</formula>
    </cfRule>
    <cfRule type="containsText" dxfId="6925" priority="9086" operator="containsText" text="$H$8">
      <formula>NOT(ISERROR(SEARCH($H$8,F216)))</formula>
      <formula>$H$8</formula>
    </cfRule>
    <cfRule type="containsText" dxfId="6924" priority="9085" operator="containsText" text="$H$9">
      <formula>NOT(ISERROR(SEARCH($H$9,F216)))</formula>
      <formula>$H$9</formula>
    </cfRule>
    <cfRule type="containsText" dxfId="6923" priority="9084" operator="containsText" text="$H$10">
      <formula>NOT(ISERROR(SEARCH($H$10,F216)))</formula>
      <formula>$H$10</formula>
    </cfRule>
    <cfRule type="containsText" dxfId="6922" priority="9083" operator="containsText" text="$H$11">
      <formula>NOT(ISERROR(SEARCH($H$11,F216)))</formula>
      <formula>$H$11</formula>
    </cfRule>
    <cfRule type="containsText" dxfId="6921" priority="9082" operator="containsText" text="$H$12">
      <formula>NOT(ISERROR(SEARCH($H$12,F216)))</formula>
      <formula>$H$12</formula>
    </cfRule>
    <cfRule type="containsText" dxfId="6920" priority="9081" operator="containsText" text="$H$13">
      <formula>NOT(ISERROR(SEARCH($H$13,F216)))</formula>
      <formula>$H$13</formula>
    </cfRule>
  </conditionalFormatting>
  <conditionalFormatting sqref="F218:F219">
    <cfRule type="containsText" dxfId="6919" priority="9080" operator="containsText" text="$H$7">
      <formula>NOT(ISERROR(SEARCH($H$7,F218)))</formula>
      <formula>$H$7</formula>
    </cfRule>
    <cfRule type="containsText" dxfId="6918" priority="9079" operator="containsText" text="$H$8">
      <formula>NOT(ISERROR(SEARCH($H$8,F218)))</formula>
      <formula>$H$8</formula>
    </cfRule>
    <cfRule type="containsText" dxfId="6917" priority="9078" operator="containsText" text="$H$8">
      <formula>NOT(ISERROR(SEARCH($H$8,F218)))</formula>
      <formula>$H$8</formula>
    </cfRule>
    <cfRule type="containsText" dxfId="6916" priority="9077" operator="containsText" text="$H$9">
      <formula>NOT(ISERROR(SEARCH($H$9,F218)))</formula>
      <formula>$H$9</formula>
    </cfRule>
    <cfRule type="containsText" dxfId="6915" priority="9076" operator="containsText" text="$H$10">
      <formula>NOT(ISERROR(SEARCH($H$10,F218)))</formula>
      <formula>$H$10</formula>
    </cfRule>
    <cfRule type="containsText" dxfId="6914" priority="9075" operator="containsText" text="$H$11">
      <formula>NOT(ISERROR(SEARCH($H$11,F218)))</formula>
      <formula>$H$11</formula>
    </cfRule>
    <cfRule type="containsText" dxfId="6913" priority="9074" operator="containsText" text="$H$12">
      <formula>NOT(ISERROR(SEARCH($H$12,F218)))</formula>
      <formula>$H$12</formula>
    </cfRule>
    <cfRule type="containsText" dxfId="6912" priority="9073" operator="containsText" text="$H$13">
      <formula>NOT(ISERROR(SEARCH($H$13,F218)))</formula>
      <formula>$H$13</formula>
    </cfRule>
  </conditionalFormatting>
  <conditionalFormatting sqref="D177 D179 D181 D183">
    <cfRule type="containsText" dxfId="6911" priority="9072" operator="containsText" text="=">
      <formula>"="</formula>
      <formula>$H$7</formula>
    </cfRule>
    <cfRule type="containsText" dxfId="6910" priority="9071" operator="containsText" text="=">
      <formula>"="</formula>
      <formula>$H$8</formula>
    </cfRule>
    <cfRule type="containsText" dxfId="6909" priority="9070" operator="containsText" text="=">
      <formula>"="</formula>
      <formula>$H$8</formula>
    </cfRule>
    <cfRule type="containsText" dxfId="6908" priority="9069" operator="containsText" text="=">
      <formula>"="</formula>
      <formula>$H$9</formula>
    </cfRule>
    <cfRule type="containsText" dxfId="6907" priority="9068" operator="containsText" text="=">
      <formula>"="</formula>
      <formula>$H$10</formula>
    </cfRule>
    <cfRule type="containsText" dxfId="6906" priority="9067" operator="containsText" text="=">
      <formula>"="</formula>
      <formula>$H$11</formula>
    </cfRule>
    <cfRule type="containsText" dxfId="6905" priority="9066" operator="containsText" text="=">
      <formula>"="</formula>
      <formula>$H$12</formula>
    </cfRule>
    <cfRule type="containsText" dxfId="6904" priority="9065" operator="containsText" text="=">
      <formula>"="</formula>
      <formula>$H$13</formula>
    </cfRule>
  </conditionalFormatting>
  <conditionalFormatting sqref="D177 D179 D181 D183">
    <cfRule type="containsText" dxfId="6903" priority="9064" operator="containsText" text="=">
      <formula>"="</formula>
      <formula>$H$7</formula>
    </cfRule>
    <cfRule type="containsText" dxfId="6902" priority="9063" operator="containsText" text="=">
      <formula>"="</formula>
      <formula>$H$8</formula>
    </cfRule>
    <cfRule type="containsText" dxfId="6901" priority="9062" operator="containsText" text="=">
      <formula>"="</formula>
      <formula>$H$8</formula>
    </cfRule>
    <cfRule type="containsText" dxfId="6900" priority="9061" operator="containsText" text="=">
      <formula>"="</formula>
      <formula>$H$9</formula>
    </cfRule>
    <cfRule type="containsText" dxfId="6899" priority="9060" operator="containsText" text="=">
      <formula>"="</formula>
      <formula>$H$10</formula>
    </cfRule>
    <cfRule type="containsText" dxfId="6898" priority="9059" operator="containsText" text="=">
      <formula>"="</formula>
      <formula>$H$11</formula>
    </cfRule>
    <cfRule type="containsText" dxfId="6897" priority="9058" operator="containsText" text="=">
      <formula>"="</formula>
      <formula>$H$12</formula>
    </cfRule>
    <cfRule type="containsText" dxfId="6896" priority="9057" operator="containsText" text="=">
      <formula>"="</formula>
      <formula>$H$13</formula>
    </cfRule>
  </conditionalFormatting>
  <conditionalFormatting sqref="E169 E171">
    <cfRule type="containsText" dxfId="6895" priority="9056" operator="containsText" text="=">
      <formula>"="</formula>
      <formula>$H$7</formula>
    </cfRule>
    <cfRule type="containsText" dxfId="6894" priority="9055" operator="containsText" text="=">
      <formula>"="</formula>
      <formula>$H$8</formula>
    </cfRule>
    <cfRule type="containsText" dxfId="6893" priority="9054" operator="containsText" text="=">
      <formula>"="</formula>
      <formula>$H$8</formula>
    </cfRule>
    <cfRule type="containsText" dxfId="6892" priority="9053" operator="containsText" text="=">
      <formula>"="</formula>
      <formula>$H$9</formula>
    </cfRule>
    <cfRule type="containsText" dxfId="6891" priority="9052" operator="containsText" text="=">
      <formula>"="</formula>
      <formula>$H$10</formula>
    </cfRule>
    <cfRule type="containsText" dxfId="6890" priority="9051" operator="containsText" text="=">
      <formula>"="</formula>
      <formula>$H$11</formula>
    </cfRule>
    <cfRule type="containsText" dxfId="6889" priority="9050" operator="containsText" text="=">
      <formula>"="</formula>
      <formula>$H$12</formula>
    </cfRule>
    <cfRule type="containsText" dxfId="6888" priority="9049" operator="containsText" text="=">
      <formula>"="</formula>
      <formula>$H$13</formula>
    </cfRule>
  </conditionalFormatting>
  <conditionalFormatting sqref="E169 E171">
    <cfRule type="containsText" dxfId="6887" priority="9048" operator="containsText" text="=">
      <formula>"="</formula>
      <formula>$H$7</formula>
    </cfRule>
    <cfRule type="containsText" dxfId="6886" priority="9047" operator="containsText" text="=">
      <formula>"="</formula>
      <formula>$H$8</formula>
    </cfRule>
    <cfRule type="containsText" dxfId="6885" priority="9046" operator="containsText" text="=">
      <formula>"="</formula>
      <formula>$H$8</formula>
    </cfRule>
    <cfRule type="containsText" dxfId="6884" priority="9045" operator="containsText" text="=">
      <formula>"="</formula>
      <formula>$H$9</formula>
    </cfRule>
    <cfRule type="containsText" dxfId="6883" priority="9044" operator="containsText" text="=">
      <formula>"="</formula>
      <formula>$H$10</formula>
    </cfRule>
    <cfRule type="containsText" dxfId="6882" priority="9043" operator="containsText" text="=">
      <formula>"="</formula>
      <formula>$H$11</formula>
    </cfRule>
    <cfRule type="containsText" dxfId="6881" priority="9042" operator="containsText" text="=">
      <formula>"="</formula>
      <formula>$H$12</formula>
    </cfRule>
    <cfRule type="containsText" dxfId="6880" priority="9041" operator="containsText" text="=">
      <formula>"="</formula>
      <formula>$H$13</formula>
    </cfRule>
  </conditionalFormatting>
  <conditionalFormatting sqref="B222:B223">
    <cfRule type="containsText" dxfId="6879" priority="9024" operator="containsText" text="$H$7">
      <formula>NOT(ISERROR(SEARCH($H$7,B222)))</formula>
      <formula>$H$7</formula>
    </cfRule>
    <cfRule type="containsText" dxfId="6878" priority="9023" operator="containsText" text="$H$8">
      <formula>NOT(ISERROR(SEARCH($H$8,B222)))</formula>
      <formula>$H$8</formula>
    </cfRule>
    <cfRule type="containsText" dxfId="6877" priority="9022" operator="containsText" text="$H$8">
      <formula>NOT(ISERROR(SEARCH($H$8,B222)))</formula>
      <formula>$H$8</formula>
    </cfRule>
    <cfRule type="containsText" dxfId="6876" priority="9021" operator="containsText" text="$H$9">
      <formula>NOT(ISERROR(SEARCH($H$9,B222)))</formula>
      <formula>$H$9</formula>
    </cfRule>
    <cfRule type="containsText" dxfId="6875" priority="9020" operator="containsText" text="$H$10">
      <formula>NOT(ISERROR(SEARCH($H$10,B222)))</formula>
      <formula>$H$10</formula>
    </cfRule>
    <cfRule type="containsText" dxfId="6874" priority="9019" operator="containsText" text="$H$11">
      <formula>NOT(ISERROR(SEARCH($H$11,B222)))</formula>
      <formula>$H$11</formula>
    </cfRule>
    <cfRule type="containsText" dxfId="6873" priority="9018" operator="containsText" text="$H$12">
      <formula>NOT(ISERROR(SEARCH($H$12,B222)))</formula>
      <formula>$H$12</formula>
    </cfRule>
    <cfRule type="containsText" dxfId="6872" priority="9017" operator="containsText" text="$H$13">
      <formula>NOT(ISERROR(SEARCH($H$13,B222)))</formula>
      <formula>$H$13</formula>
    </cfRule>
  </conditionalFormatting>
  <conditionalFormatting sqref="B224:B225">
    <cfRule type="containsText" dxfId="6871" priority="9016" operator="containsText" text="$H$7">
      <formula>NOT(ISERROR(SEARCH($H$7,B224)))</formula>
      <formula>$H$7</formula>
    </cfRule>
    <cfRule type="containsText" dxfId="6870" priority="9015" operator="containsText" text="$H$8">
      <formula>NOT(ISERROR(SEARCH($H$8,B224)))</formula>
      <formula>$H$8</formula>
    </cfRule>
    <cfRule type="containsText" dxfId="6869" priority="9014" operator="containsText" text="$H$8">
      <formula>NOT(ISERROR(SEARCH($H$8,B224)))</formula>
      <formula>$H$8</formula>
    </cfRule>
    <cfRule type="containsText" dxfId="6868" priority="9013" operator="containsText" text="$H$9">
      <formula>NOT(ISERROR(SEARCH($H$9,B224)))</formula>
      <formula>$H$9</formula>
    </cfRule>
    <cfRule type="containsText" dxfId="6867" priority="9012" operator="containsText" text="$H$10">
      <formula>NOT(ISERROR(SEARCH($H$10,B224)))</formula>
      <formula>$H$10</formula>
    </cfRule>
    <cfRule type="containsText" dxfId="6866" priority="9011" operator="containsText" text="$H$11">
      <formula>NOT(ISERROR(SEARCH($H$11,B224)))</formula>
      <formula>$H$11</formula>
    </cfRule>
    <cfRule type="containsText" dxfId="6865" priority="9010" operator="containsText" text="$H$12">
      <formula>NOT(ISERROR(SEARCH($H$12,B224)))</formula>
      <formula>$H$12</formula>
    </cfRule>
    <cfRule type="containsText" dxfId="6864" priority="9009" operator="containsText" text="$H$13">
      <formula>NOT(ISERROR(SEARCH($H$13,B224)))</formula>
      <formula>$H$13</formula>
    </cfRule>
  </conditionalFormatting>
  <conditionalFormatting sqref="B226:B227">
    <cfRule type="containsText" dxfId="6863" priority="9008" operator="containsText" text="$H$7">
      <formula>NOT(ISERROR(SEARCH($H$7,B226)))</formula>
      <formula>$H$7</formula>
    </cfRule>
    <cfRule type="containsText" dxfId="6862" priority="9007" operator="containsText" text="$H$8">
      <formula>NOT(ISERROR(SEARCH($H$8,B226)))</formula>
      <formula>$H$8</formula>
    </cfRule>
    <cfRule type="containsText" dxfId="6861" priority="9006" operator="containsText" text="$H$8">
      <formula>NOT(ISERROR(SEARCH($H$8,B226)))</formula>
      <formula>$H$8</formula>
    </cfRule>
    <cfRule type="containsText" dxfId="6860" priority="9005" operator="containsText" text="$H$9">
      <formula>NOT(ISERROR(SEARCH($H$9,B226)))</formula>
      <formula>$H$9</formula>
    </cfRule>
    <cfRule type="containsText" dxfId="6859" priority="9004" operator="containsText" text="$H$10">
      <formula>NOT(ISERROR(SEARCH($H$10,B226)))</formula>
      <formula>$H$10</formula>
    </cfRule>
    <cfRule type="containsText" dxfId="6858" priority="9003" operator="containsText" text="$H$11">
      <formula>NOT(ISERROR(SEARCH($H$11,B226)))</formula>
      <formula>$H$11</formula>
    </cfRule>
    <cfRule type="containsText" dxfId="6857" priority="9002" operator="containsText" text="$H$12">
      <formula>NOT(ISERROR(SEARCH($H$12,B226)))</formula>
      <formula>$H$12</formula>
    </cfRule>
    <cfRule type="containsText" dxfId="6856" priority="9001" operator="containsText" text="$H$13">
      <formula>NOT(ISERROR(SEARCH($H$13,B226)))</formula>
      <formula>$H$13</formula>
    </cfRule>
  </conditionalFormatting>
  <conditionalFormatting sqref="B228:B229">
    <cfRule type="containsText" dxfId="6855" priority="9000" operator="containsText" text="$H$7">
      <formula>NOT(ISERROR(SEARCH($H$7,B228)))</formula>
      <formula>$H$7</formula>
    </cfRule>
    <cfRule type="containsText" dxfId="6854" priority="8999" operator="containsText" text="$H$8">
      <formula>NOT(ISERROR(SEARCH($H$8,B228)))</formula>
      <formula>$H$8</formula>
    </cfRule>
    <cfRule type="containsText" dxfId="6853" priority="8998" operator="containsText" text="$H$8">
      <formula>NOT(ISERROR(SEARCH($H$8,B228)))</formula>
      <formula>$H$8</formula>
    </cfRule>
    <cfRule type="containsText" dxfId="6852" priority="8997" operator="containsText" text="$H$9">
      <formula>NOT(ISERROR(SEARCH($H$9,B228)))</formula>
      <formula>$H$9</formula>
    </cfRule>
    <cfRule type="containsText" dxfId="6851" priority="8996" operator="containsText" text="$H$10">
      <formula>NOT(ISERROR(SEARCH($H$10,B228)))</formula>
      <formula>$H$10</formula>
    </cfRule>
    <cfRule type="containsText" dxfId="6850" priority="8995" operator="containsText" text="$H$11">
      <formula>NOT(ISERROR(SEARCH($H$11,B228)))</formula>
      <formula>$H$11</formula>
    </cfRule>
    <cfRule type="containsText" dxfId="6849" priority="8994" operator="containsText" text="$H$12">
      <formula>NOT(ISERROR(SEARCH($H$12,B228)))</formula>
      <formula>$H$12</formula>
    </cfRule>
    <cfRule type="containsText" dxfId="6848" priority="8993" operator="containsText" text="$H$13">
      <formula>NOT(ISERROR(SEARCH($H$13,B228)))</formula>
      <formula>$H$13</formula>
    </cfRule>
  </conditionalFormatting>
  <conditionalFormatting sqref="B230:B231">
    <cfRule type="containsText" dxfId="6847" priority="8992" operator="containsText" text="$H$7">
      <formula>NOT(ISERROR(SEARCH($H$7,B230)))</formula>
      <formula>$H$7</formula>
    </cfRule>
    <cfRule type="containsText" dxfId="6846" priority="8991" operator="containsText" text="$H$8">
      <formula>NOT(ISERROR(SEARCH($H$8,B230)))</formula>
      <formula>$H$8</formula>
    </cfRule>
    <cfRule type="containsText" dxfId="6845" priority="8990" operator="containsText" text="$H$8">
      <formula>NOT(ISERROR(SEARCH($H$8,B230)))</formula>
      <formula>$H$8</formula>
    </cfRule>
    <cfRule type="containsText" dxfId="6844" priority="8989" operator="containsText" text="$H$9">
      <formula>NOT(ISERROR(SEARCH($H$9,B230)))</formula>
      <formula>$H$9</formula>
    </cfRule>
    <cfRule type="containsText" dxfId="6843" priority="8988" operator="containsText" text="$H$10">
      <formula>NOT(ISERROR(SEARCH($H$10,B230)))</formula>
      <formula>$H$10</formula>
    </cfRule>
    <cfRule type="containsText" dxfId="6842" priority="8987" operator="containsText" text="$H$11">
      <formula>NOT(ISERROR(SEARCH($H$11,B230)))</formula>
      <formula>$H$11</formula>
    </cfRule>
    <cfRule type="containsText" dxfId="6841" priority="8986" operator="containsText" text="$H$12">
      <formula>NOT(ISERROR(SEARCH($H$12,B230)))</formula>
      <formula>$H$12</formula>
    </cfRule>
    <cfRule type="containsText" dxfId="6840" priority="8985" operator="containsText" text="$H$13">
      <formula>NOT(ISERROR(SEARCH($H$13,B230)))</formula>
      <formula>$H$13</formula>
    </cfRule>
  </conditionalFormatting>
  <conditionalFormatting sqref="B232:B233">
    <cfRule type="containsText" dxfId="6839" priority="8984" operator="containsText" text="$H$7">
      <formula>NOT(ISERROR(SEARCH($H$7,B232)))</formula>
      <formula>$H$7</formula>
    </cfRule>
    <cfRule type="containsText" dxfId="6838" priority="8983" operator="containsText" text="$H$8">
      <formula>NOT(ISERROR(SEARCH($H$8,B232)))</formula>
      <formula>$H$8</formula>
    </cfRule>
    <cfRule type="containsText" dxfId="6837" priority="8982" operator="containsText" text="$H$8">
      <formula>NOT(ISERROR(SEARCH($H$8,B232)))</formula>
      <formula>$H$8</formula>
    </cfRule>
    <cfRule type="containsText" dxfId="6836" priority="8981" operator="containsText" text="$H$9">
      <formula>NOT(ISERROR(SEARCH($H$9,B232)))</formula>
      <formula>$H$9</formula>
    </cfRule>
    <cfRule type="containsText" dxfId="6835" priority="8980" operator="containsText" text="$H$10">
      <formula>NOT(ISERROR(SEARCH($H$10,B232)))</formula>
      <formula>$H$10</formula>
    </cfRule>
    <cfRule type="containsText" dxfId="6834" priority="8979" operator="containsText" text="$H$11">
      <formula>NOT(ISERROR(SEARCH($H$11,B232)))</formula>
      <formula>$H$11</formula>
    </cfRule>
    <cfRule type="containsText" dxfId="6833" priority="8978" operator="containsText" text="$H$12">
      <formula>NOT(ISERROR(SEARCH($H$12,B232)))</formula>
      <formula>$H$12</formula>
    </cfRule>
    <cfRule type="containsText" dxfId="6832" priority="8977" operator="containsText" text="$H$13">
      <formula>NOT(ISERROR(SEARCH($H$13,B232)))</formula>
      <formula>$H$13</formula>
    </cfRule>
  </conditionalFormatting>
  <conditionalFormatting sqref="B234:B235">
    <cfRule type="containsText" dxfId="6831" priority="8976" operator="containsText" text="$H$7">
      <formula>NOT(ISERROR(SEARCH($H$7,B234)))</formula>
      <formula>$H$7</formula>
    </cfRule>
    <cfRule type="containsText" dxfId="6830" priority="8975" operator="containsText" text="$H$8">
      <formula>NOT(ISERROR(SEARCH($H$8,B234)))</formula>
      <formula>$H$8</formula>
    </cfRule>
    <cfRule type="containsText" dxfId="6829" priority="8974" operator="containsText" text="$H$8">
      <formula>NOT(ISERROR(SEARCH($H$8,B234)))</formula>
      <formula>$H$8</formula>
    </cfRule>
    <cfRule type="containsText" dxfId="6828" priority="8973" operator="containsText" text="$H$9">
      <formula>NOT(ISERROR(SEARCH($H$9,B234)))</formula>
      <formula>$H$9</formula>
    </cfRule>
    <cfRule type="containsText" dxfId="6827" priority="8972" operator="containsText" text="$H$10">
      <formula>NOT(ISERROR(SEARCH($H$10,B234)))</formula>
      <formula>$H$10</formula>
    </cfRule>
    <cfRule type="containsText" dxfId="6826" priority="8971" operator="containsText" text="$H$11">
      <formula>NOT(ISERROR(SEARCH($H$11,B234)))</formula>
      <formula>$H$11</formula>
    </cfRule>
    <cfRule type="containsText" dxfId="6825" priority="8970" operator="containsText" text="$H$12">
      <formula>NOT(ISERROR(SEARCH($H$12,B234)))</formula>
      <formula>$H$12</formula>
    </cfRule>
    <cfRule type="containsText" dxfId="6824" priority="8969" operator="containsText" text="$H$13">
      <formula>NOT(ISERROR(SEARCH($H$13,B234)))</formula>
      <formula>$H$13</formula>
    </cfRule>
  </conditionalFormatting>
  <conditionalFormatting sqref="B236:B237">
    <cfRule type="containsText" dxfId="6823" priority="8968" operator="containsText" text="$H$7">
      <formula>NOT(ISERROR(SEARCH($H$7,B236)))</formula>
      <formula>$H$7</formula>
    </cfRule>
    <cfRule type="containsText" dxfId="6822" priority="8967" operator="containsText" text="$H$8">
      <formula>NOT(ISERROR(SEARCH($H$8,B236)))</formula>
      <formula>$H$8</formula>
    </cfRule>
    <cfRule type="containsText" dxfId="6821" priority="8966" operator="containsText" text="$H$8">
      <formula>NOT(ISERROR(SEARCH($H$8,B236)))</formula>
      <formula>$H$8</formula>
    </cfRule>
    <cfRule type="containsText" dxfId="6820" priority="8965" operator="containsText" text="$H$9">
      <formula>NOT(ISERROR(SEARCH($H$9,B236)))</formula>
      <formula>$H$9</formula>
    </cfRule>
    <cfRule type="containsText" dxfId="6819" priority="8964" operator="containsText" text="$H$10">
      <formula>NOT(ISERROR(SEARCH($H$10,B236)))</formula>
      <formula>$H$10</formula>
    </cfRule>
    <cfRule type="containsText" dxfId="6818" priority="8963" operator="containsText" text="$H$11">
      <formula>NOT(ISERROR(SEARCH($H$11,B236)))</formula>
      <formula>$H$11</formula>
    </cfRule>
    <cfRule type="containsText" dxfId="6817" priority="8962" operator="containsText" text="$H$12">
      <formula>NOT(ISERROR(SEARCH($H$12,B236)))</formula>
      <formula>$H$12</formula>
    </cfRule>
    <cfRule type="containsText" dxfId="6816" priority="8961" operator="containsText" text="$H$13">
      <formula>NOT(ISERROR(SEARCH($H$13,B236)))</formula>
      <formula>$H$13</formula>
    </cfRule>
  </conditionalFormatting>
  <conditionalFormatting sqref="D230:D231">
    <cfRule type="containsText" dxfId="6815" priority="8960" operator="containsText" text="$H$7">
      <formula>NOT(ISERROR(SEARCH($H$7,D230)))</formula>
      <formula>$H$7</formula>
    </cfRule>
    <cfRule type="containsText" dxfId="6814" priority="8959" operator="containsText" text="$H$8">
      <formula>NOT(ISERROR(SEARCH($H$8,D230)))</formula>
      <formula>$H$8</formula>
    </cfRule>
    <cfRule type="containsText" dxfId="6813" priority="8958" operator="containsText" text="$H$8">
      <formula>NOT(ISERROR(SEARCH($H$8,D230)))</formula>
      <formula>$H$8</formula>
    </cfRule>
    <cfRule type="containsText" dxfId="6812" priority="8957" operator="containsText" text="$H$9">
      <formula>NOT(ISERROR(SEARCH($H$9,D230)))</formula>
      <formula>$H$9</formula>
    </cfRule>
    <cfRule type="containsText" dxfId="6811" priority="8956" operator="containsText" text="$H$10">
      <formula>NOT(ISERROR(SEARCH($H$10,D230)))</formula>
      <formula>$H$10</formula>
    </cfRule>
    <cfRule type="containsText" dxfId="6810" priority="8955" operator="containsText" text="$H$11">
      <formula>NOT(ISERROR(SEARCH($H$11,D230)))</formula>
      <formula>$H$11</formula>
    </cfRule>
    <cfRule type="containsText" dxfId="6809" priority="8954" operator="containsText" text="$H$12">
      <formula>NOT(ISERROR(SEARCH($H$12,D230)))</formula>
      <formula>$H$12</formula>
    </cfRule>
    <cfRule type="containsText" dxfId="6808" priority="8953" operator="containsText" text="$H$13">
      <formula>NOT(ISERROR(SEARCH($H$13,D230)))</formula>
      <formula>$H$13</formula>
    </cfRule>
  </conditionalFormatting>
  <conditionalFormatting sqref="D232:D233">
    <cfRule type="containsText" dxfId="6807" priority="8952" operator="containsText" text="$H$7">
      <formula>NOT(ISERROR(SEARCH($H$7,D232)))</formula>
      <formula>$H$7</formula>
    </cfRule>
    <cfRule type="containsText" dxfId="6806" priority="8951" operator="containsText" text="$H$8">
      <formula>NOT(ISERROR(SEARCH($H$8,D232)))</formula>
      <formula>$H$8</formula>
    </cfRule>
    <cfRule type="containsText" dxfId="6805" priority="8950" operator="containsText" text="$H$8">
      <formula>NOT(ISERROR(SEARCH($H$8,D232)))</formula>
      <formula>$H$8</formula>
    </cfRule>
    <cfRule type="containsText" dxfId="6804" priority="8949" operator="containsText" text="$H$9">
      <formula>NOT(ISERROR(SEARCH($H$9,D232)))</formula>
      <formula>$H$9</formula>
    </cfRule>
    <cfRule type="containsText" dxfId="6803" priority="8948" operator="containsText" text="$H$10">
      <formula>NOT(ISERROR(SEARCH($H$10,D232)))</formula>
      <formula>$H$10</formula>
    </cfRule>
    <cfRule type="containsText" dxfId="6802" priority="8947" operator="containsText" text="$H$11">
      <formula>NOT(ISERROR(SEARCH($H$11,D232)))</formula>
      <formula>$H$11</formula>
    </cfRule>
    <cfRule type="containsText" dxfId="6801" priority="8946" operator="containsText" text="$H$12">
      <formula>NOT(ISERROR(SEARCH($H$12,D232)))</formula>
      <formula>$H$12</formula>
    </cfRule>
    <cfRule type="containsText" dxfId="6800" priority="8945" operator="containsText" text="$H$13">
      <formula>NOT(ISERROR(SEARCH($H$13,D232)))</formula>
      <formula>$H$13</formula>
    </cfRule>
  </conditionalFormatting>
  <conditionalFormatting sqref="D234:D235">
    <cfRule type="containsText" dxfId="6799" priority="8944" operator="containsText" text="$H$7">
      <formula>NOT(ISERROR(SEARCH($H$7,D234)))</formula>
      <formula>$H$7</formula>
    </cfRule>
    <cfRule type="containsText" dxfId="6798" priority="8943" operator="containsText" text="$H$8">
      <formula>NOT(ISERROR(SEARCH($H$8,D234)))</formula>
      <formula>$H$8</formula>
    </cfRule>
    <cfRule type="containsText" dxfId="6797" priority="8942" operator="containsText" text="$H$8">
      <formula>NOT(ISERROR(SEARCH($H$8,D234)))</formula>
      <formula>$H$8</formula>
    </cfRule>
    <cfRule type="containsText" dxfId="6796" priority="8941" operator="containsText" text="$H$9">
      <formula>NOT(ISERROR(SEARCH($H$9,D234)))</formula>
      <formula>$H$9</formula>
    </cfRule>
    <cfRule type="containsText" dxfId="6795" priority="8940" operator="containsText" text="$H$10">
      <formula>NOT(ISERROR(SEARCH($H$10,D234)))</formula>
      <formula>$H$10</formula>
    </cfRule>
    <cfRule type="containsText" dxfId="6794" priority="8939" operator="containsText" text="$H$11">
      <formula>NOT(ISERROR(SEARCH($H$11,D234)))</formula>
      <formula>$H$11</formula>
    </cfRule>
    <cfRule type="containsText" dxfId="6793" priority="8938" operator="containsText" text="$H$12">
      <formula>NOT(ISERROR(SEARCH($H$12,D234)))</formula>
      <formula>$H$12</formula>
    </cfRule>
    <cfRule type="containsText" dxfId="6792" priority="8937" operator="containsText" text="$H$13">
      <formula>NOT(ISERROR(SEARCH($H$13,D234)))</formula>
      <formula>$H$13</formula>
    </cfRule>
  </conditionalFormatting>
  <conditionalFormatting sqref="D236:D237">
    <cfRule type="containsText" dxfId="6791" priority="8936" operator="containsText" text="$H$7">
      <formula>NOT(ISERROR(SEARCH($H$7,D236)))</formula>
      <formula>$H$7</formula>
    </cfRule>
    <cfRule type="containsText" dxfId="6790" priority="8935" operator="containsText" text="$H$8">
      <formula>NOT(ISERROR(SEARCH($H$8,D236)))</formula>
      <formula>$H$8</formula>
    </cfRule>
    <cfRule type="containsText" dxfId="6789" priority="8934" operator="containsText" text="$H$8">
      <formula>NOT(ISERROR(SEARCH($H$8,D236)))</formula>
      <formula>$H$8</formula>
    </cfRule>
    <cfRule type="containsText" dxfId="6788" priority="8933" operator="containsText" text="$H$9">
      <formula>NOT(ISERROR(SEARCH($H$9,D236)))</formula>
      <formula>$H$9</formula>
    </cfRule>
    <cfRule type="containsText" dxfId="6787" priority="8932" operator="containsText" text="$H$10">
      <formula>NOT(ISERROR(SEARCH($H$10,D236)))</formula>
      <formula>$H$10</formula>
    </cfRule>
    <cfRule type="containsText" dxfId="6786" priority="8931" operator="containsText" text="$H$11">
      <formula>NOT(ISERROR(SEARCH($H$11,D236)))</formula>
      <formula>$H$11</formula>
    </cfRule>
    <cfRule type="containsText" dxfId="6785" priority="8930" operator="containsText" text="$H$12">
      <formula>NOT(ISERROR(SEARCH($H$12,D236)))</formula>
      <formula>$H$12</formula>
    </cfRule>
    <cfRule type="containsText" dxfId="6784" priority="8929" operator="containsText" text="$H$13">
      <formula>NOT(ISERROR(SEARCH($H$13,D236)))</formula>
      <formula>$H$13</formula>
    </cfRule>
  </conditionalFormatting>
  <conditionalFormatting sqref="F222:F223">
    <cfRule type="containsText" dxfId="6783" priority="8928" operator="containsText" text="$H$7">
      <formula>NOT(ISERROR(SEARCH($H$7,F222)))</formula>
      <formula>$H$7</formula>
    </cfRule>
    <cfRule type="containsText" dxfId="6782" priority="8927" operator="containsText" text="$H$8">
      <formula>NOT(ISERROR(SEARCH($H$8,F222)))</formula>
      <formula>$H$8</formula>
    </cfRule>
    <cfRule type="containsText" dxfId="6781" priority="8926" operator="containsText" text="$H$8">
      <formula>NOT(ISERROR(SEARCH($H$8,F222)))</formula>
      <formula>$H$8</formula>
    </cfRule>
    <cfRule type="containsText" dxfId="6780" priority="8925" operator="containsText" text="$H$9">
      <formula>NOT(ISERROR(SEARCH($H$9,F222)))</formula>
      <formula>$H$9</formula>
    </cfRule>
    <cfRule type="containsText" dxfId="6779" priority="8924" operator="containsText" text="$H$10">
      <formula>NOT(ISERROR(SEARCH($H$10,F222)))</formula>
      <formula>$H$10</formula>
    </cfRule>
    <cfRule type="containsText" dxfId="6778" priority="8923" operator="containsText" text="$H$11">
      <formula>NOT(ISERROR(SEARCH($H$11,F222)))</formula>
      <formula>$H$11</formula>
    </cfRule>
    <cfRule type="containsText" dxfId="6777" priority="8922" operator="containsText" text="$H$12">
      <formula>NOT(ISERROR(SEARCH($H$12,F222)))</formula>
      <formula>$H$12</formula>
    </cfRule>
    <cfRule type="containsText" dxfId="6776" priority="8921" operator="containsText" text="$H$13">
      <formula>NOT(ISERROR(SEARCH($H$13,F222)))</formula>
      <formula>$H$13</formula>
    </cfRule>
  </conditionalFormatting>
  <conditionalFormatting sqref="F224:F225">
    <cfRule type="containsText" dxfId="6775" priority="8920" operator="containsText" text="$H$7">
      <formula>NOT(ISERROR(SEARCH($H$7,F224)))</formula>
      <formula>$H$7</formula>
    </cfRule>
    <cfRule type="containsText" dxfId="6774" priority="8919" operator="containsText" text="$H$8">
      <formula>NOT(ISERROR(SEARCH($H$8,F224)))</formula>
      <formula>$H$8</formula>
    </cfRule>
    <cfRule type="containsText" dxfId="6773" priority="8918" operator="containsText" text="$H$8">
      <formula>NOT(ISERROR(SEARCH($H$8,F224)))</formula>
      <formula>$H$8</formula>
    </cfRule>
    <cfRule type="containsText" dxfId="6772" priority="8917" operator="containsText" text="$H$9">
      <formula>NOT(ISERROR(SEARCH($H$9,F224)))</formula>
      <formula>$H$9</formula>
    </cfRule>
    <cfRule type="containsText" dxfId="6771" priority="8916" operator="containsText" text="$H$10">
      <formula>NOT(ISERROR(SEARCH($H$10,F224)))</formula>
      <formula>$H$10</formula>
    </cfRule>
    <cfRule type="containsText" dxfId="6770" priority="8915" operator="containsText" text="$H$11">
      <formula>NOT(ISERROR(SEARCH($H$11,F224)))</formula>
      <formula>$H$11</formula>
    </cfRule>
    <cfRule type="containsText" dxfId="6769" priority="8914" operator="containsText" text="$H$12">
      <formula>NOT(ISERROR(SEARCH($H$12,F224)))</formula>
      <formula>$H$12</formula>
    </cfRule>
    <cfRule type="containsText" dxfId="6768" priority="8913" operator="containsText" text="$H$13">
      <formula>NOT(ISERROR(SEARCH($H$13,F224)))</formula>
      <formula>$H$13</formula>
    </cfRule>
  </conditionalFormatting>
  <conditionalFormatting sqref="F226:F227">
    <cfRule type="containsText" dxfId="6767" priority="8912" operator="containsText" text="$H$7">
      <formula>NOT(ISERROR(SEARCH($H$7,F226)))</formula>
      <formula>$H$7</formula>
    </cfRule>
    <cfRule type="containsText" dxfId="6766" priority="8911" operator="containsText" text="$H$8">
      <formula>NOT(ISERROR(SEARCH($H$8,F226)))</formula>
      <formula>$H$8</formula>
    </cfRule>
    <cfRule type="containsText" dxfId="6765" priority="8910" operator="containsText" text="$H$8">
      <formula>NOT(ISERROR(SEARCH($H$8,F226)))</formula>
      <formula>$H$8</formula>
    </cfRule>
    <cfRule type="containsText" dxfId="6764" priority="8909" operator="containsText" text="$H$9">
      <formula>NOT(ISERROR(SEARCH($H$9,F226)))</formula>
      <formula>$H$9</formula>
    </cfRule>
    <cfRule type="containsText" dxfId="6763" priority="8908" operator="containsText" text="$H$10">
      <formula>NOT(ISERROR(SEARCH($H$10,F226)))</formula>
      <formula>$H$10</formula>
    </cfRule>
    <cfRule type="containsText" dxfId="6762" priority="8907" operator="containsText" text="$H$11">
      <formula>NOT(ISERROR(SEARCH($H$11,F226)))</formula>
      <formula>$H$11</formula>
    </cfRule>
    <cfRule type="containsText" dxfId="6761" priority="8906" operator="containsText" text="$H$12">
      <formula>NOT(ISERROR(SEARCH($H$12,F226)))</formula>
      <formula>$H$12</formula>
    </cfRule>
    <cfRule type="containsText" dxfId="6760" priority="8905" operator="containsText" text="$H$13">
      <formula>NOT(ISERROR(SEARCH($H$13,F226)))</formula>
      <formula>$H$13</formula>
    </cfRule>
  </conditionalFormatting>
  <conditionalFormatting sqref="F228:F229">
    <cfRule type="containsText" dxfId="6759" priority="8904" operator="containsText" text="$H$7">
      <formula>NOT(ISERROR(SEARCH($H$7,F228)))</formula>
      <formula>$H$7</formula>
    </cfRule>
    <cfRule type="containsText" dxfId="6758" priority="8903" operator="containsText" text="$H$8">
      <formula>NOT(ISERROR(SEARCH($H$8,F228)))</formula>
      <formula>$H$8</formula>
    </cfRule>
    <cfRule type="containsText" dxfId="6757" priority="8902" operator="containsText" text="$H$8">
      <formula>NOT(ISERROR(SEARCH($H$8,F228)))</formula>
      <formula>$H$8</formula>
    </cfRule>
    <cfRule type="containsText" dxfId="6756" priority="8901" operator="containsText" text="$H$9">
      <formula>NOT(ISERROR(SEARCH($H$9,F228)))</formula>
      <formula>$H$9</formula>
    </cfRule>
    <cfRule type="containsText" dxfId="6755" priority="8900" operator="containsText" text="$H$10">
      <formula>NOT(ISERROR(SEARCH($H$10,F228)))</formula>
      <formula>$H$10</formula>
    </cfRule>
    <cfRule type="containsText" dxfId="6754" priority="8899" operator="containsText" text="$H$11">
      <formula>NOT(ISERROR(SEARCH($H$11,F228)))</formula>
      <formula>$H$11</formula>
    </cfRule>
    <cfRule type="containsText" dxfId="6753" priority="8898" operator="containsText" text="$H$12">
      <formula>NOT(ISERROR(SEARCH($H$12,F228)))</formula>
      <formula>$H$12</formula>
    </cfRule>
    <cfRule type="containsText" dxfId="6752" priority="8897" operator="containsText" text="$H$13">
      <formula>NOT(ISERROR(SEARCH($H$13,F228)))</formula>
      <formula>$H$13</formula>
    </cfRule>
  </conditionalFormatting>
  <conditionalFormatting sqref="F230:F231">
    <cfRule type="containsText" dxfId="6751" priority="8896" operator="containsText" text="$H$7">
      <formula>NOT(ISERROR(SEARCH($H$7,F230)))</formula>
      <formula>$H$7</formula>
    </cfRule>
    <cfRule type="containsText" dxfId="6750" priority="8895" operator="containsText" text="$H$8">
      <formula>NOT(ISERROR(SEARCH($H$8,F230)))</formula>
      <formula>$H$8</formula>
    </cfRule>
    <cfRule type="containsText" dxfId="6749" priority="8894" operator="containsText" text="$H$8">
      <formula>NOT(ISERROR(SEARCH($H$8,F230)))</formula>
      <formula>$H$8</formula>
    </cfRule>
    <cfRule type="containsText" dxfId="6748" priority="8893" operator="containsText" text="$H$9">
      <formula>NOT(ISERROR(SEARCH($H$9,F230)))</formula>
      <formula>$H$9</formula>
    </cfRule>
    <cfRule type="containsText" dxfId="6747" priority="8892" operator="containsText" text="$H$10">
      <formula>NOT(ISERROR(SEARCH($H$10,F230)))</formula>
      <formula>$H$10</formula>
    </cfRule>
    <cfRule type="containsText" dxfId="6746" priority="8891" operator="containsText" text="$H$11">
      <formula>NOT(ISERROR(SEARCH($H$11,F230)))</formula>
      <formula>$H$11</formula>
    </cfRule>
    <cfRule type="containsText" dxfId="6745" priority="8890" operator="containsText" text="$H$12">
      <formula>NOT(ISERROR(SEARCH($H$12,F230)))</formula>
      <formula>$H$12</formula>
    </cfRule>
    <cfRule type="containsText" dxfId="6744" priority="8889" operator="containsText" text="$H$13">
      <formula>NOT(ISERROR(SEARCH($H$13,F230)))</formula>
      <formula>$H$13</formula>
    </cfRule>
  </conditionalFormatting>
  <conditionalFormatting sqref="F232:F233">
    <cfRule type="containsText" dxfId="6743" priority="8888" operator="containsText" text="$H$7">
      <formula>NOT(ISERROR(SEARCH($H$7,F232)))</formula>
      <formula>$H$7</formula>
    </cfRule>
    <cfRule type="containsText" dxfId="6742" priority="8887" operator="containsText" text="$H$8">
      <formula>NOT(ISERROR(SEARCH($H$8,F232)))</formula>
      <formula>$H$8</formula>
    </cfRule>
    <cfRule type="containsText" dxfId="6741" priority="8886" operator="containsText" text="$H$8">
      <formula>NOT(ISERROR(SEARCH($H$8,F232)))</formula>
      <formula>$H$8</formula>
    </cfRule>
    <cfRule type="containsText" dxfId="6740" priority="8885" operator="containsText" text="$H$9">
      <formula>NOT(ISERROR(SEARCH($H$9,F232)))</formula>
      <formula>$H$9</formula>
    </cfRule>
    <cfRule type="containsText" dxfId="6739" priority="8884" operator="containsText" text="$H$10">
      <formula>NOT(ISERROR(SEARCH($H$10,F232)))</formula>
      <formula>$H$10</formula>
    </cfRule>
    <cfRule type="containsText" dxfId="6738" priority="8883" operator="containsText" text="$H$11">
      <formula>NOT(ISERROR(SEARCH($H$11,F232)))</formula>
      <formula>$H$11</formula>
    </cfRule>
    <cfRule type="containsText" dxfId="6737" priority="8882" operator="containsText" text="$H$12">
      <formula>NOT(ISERROR(SEARCH($H$12,F232)))</formula>
      <formula>$H$12</formula>
    </cfRule>
    <cfRule type="containsText" dxfId="6736" priority="8881" operator="containsText" text="$H$13">
      <formula>NOT(ISERROR(SEARCH($H$13,F232)))</formula>
      <formula>$H$13</formula>
    </cfRule>
  </conditionalFormatting>
  <conditionalFormatting sqref="F234:F235">
    <cfRule type="containsText" dxfId="6735" priority="8880" operator="containsText" text="$H$7">
      <formula>NOT(ISERROR(SEARCH($H$7,F234)))</formula>
      <formula>$H$7</formula>
    </cfRule>
    <cfRule type="containsText" dxfId="6734" priority="8879" operator="containsText" text="$H$8">
      <formula>NOT(ISERROR(SEARCH($H$8,F234)))</formula>
      <formula>$H$8</formula>
    </cfRule>
    <cfRule type="containsText" dxfId="6733" priority="8878" operator="containsText" text="$H$8">
      <formula>NOT(ISERROR(SEARCH($H$8,F234)))</formula>
      <formula>$H$8</formula>
    </cfRule>
    <cfRule type="containsText" dxfId="6732" priority="8877" operator="containsText" text="$H$9">
      <formula>NOT(ISERROR(SEARCH($H$9,F234)))</formula>
      <formula>$H$9</formula>
    </cfRule>
    <cfRule type="containsText" dxfId="6731" priority="8876" operator="containsText" text="$H$10">
      <formula>NOT(ISERROR(SEARCH($H$10,F234)))</formula>
      <formula>$H$10</formula>
    </cfRule>
    <cfRule type="containsText" dxfId="6730" priority="8875" operator="containsText" text="$H$11">
      <formula>NOT(ISERROR(SEARCH($H$11,F234)))</formula>
      <formula>$H$11</formula>
    </cfRule>
    <cfRule type="containsText" dxfId="6729" priority="8874" operator="containsText" text="$H$12">
      <formula>NOT(ISERROR(SEARCH($H$12,F234)))</formula>
      <formula>$H$12</formula>
    </cfRule>
    <cfRule type="containsText" dxfId="6728" priority="8873" operator="containsText" text="$H$13">
      <formula>NOT(ISERROR(SEARCH($H$13,F234)))</formula>
      <formula>$H$13</formula>
    </cfRule>
  </conditionalFormatting>
  <conditionalFormatting sqref="F236:F237">
    <cfRule type="containsText" dxfId="6727" priority="8872" operator="containsText" text="$H$7">
      <formula>NOT(ISERROR(SEARCH($H$7,F236)))</formula>
      <formula>$H$7</formula>
    </cfRule>
    <cfRule type="containsText" dxfId="6726" priority="8871" operator="containsText" text="$H$8">
      <formula>NOT(ISERROR(SEARCH($H$8,F236)))</formula>
      <formula>$H$8</formula>
    </cfRule>
    <cfRule type="containsText" dxfId="6725" priority="8870" operator="containsText" text="$H$8">
      <formula>NOT(ISERROR(SEARCH($H$8,F236)))</formula>
      <formula>$H$8</formula>
    </cfRule>
    <cfRule type="containsText" dxfId="6724" priority="8869" operator="containsText" text="$H$9">
      <formula>NOT(ISERROR(SEARCH($H$9,F236)))</formula>
      <formula>$H$9</formula>
    </cfRule>
    <cfRule type="containsText" dxfId="6723" priority="8868" operator="containsText" text="$H$10">
      <formula>NOT(ISERROR(SEARCH($H$10,F236)))</formula>
      <formula>$H$10</formula>
    </cfRule>
    <cfRule type="containsText" dxfId="6722" priority="8867" operator="containsText" text="$H$11">
      <formula>NOT(ISERROR(SEARCH($H$11,F236)))</formula>
      <formula>$H$11</formula>
    </cfRule>
    <cfRule type="containsText" dxfId="6721" priority="8866" operator="containsText" text="$H$12">
      <formula>NOT(ISERROR(SEARCH($H$12,F236)))</formula>
      <formula>$H$12</formula>
    </cfRule>
    <cfRule type="containsText" dxfId="6720" priority="8865" operator="containsText" text="$H$13">
      <formula>NOT(ISERROR(SEARCH($H$13,F236)))</formula>
      <formula>$H$13</formula>
    </cfRule>
  </conditionalFormatting>
  <conditionalFormatting sqref="B240:B241">
    <cfRule type="containsText" dxfId="6719" priority="8864" operator="containsText" text="$H$7">
      <formula>NOT(ISERROR(SEARCH($H$7,B240)))</formula>
      <formula>$H$7</formula>
    </cfRule>
    <cfRule type="containsText" dxfId="6718" priority="8863" operator="containsText" text="$H$8">
      <formula>NOT(ISERROR(SEARCH($H$8,B240)))</formula>
      <formula>$H$8</formula>
    </cfRule>
    <cfRule type="containsText" dxfId="6717" priority="8862" operator="containsText" text="$H$8">
      <formula>NOT(ISERROR(SEARCH($H$8,B240)))</formula>
      <formula>$H$8</formula>
    </cfRule>
    <cfRule type="containsText" dxfId="6716" priority="8861" operator="containsText" text="$H$9">
      <formula>NOT(ISERROR(SEARCH($H$9,B240)))</formula>
      <formula>$H$9</formula>
    </cfRule>
    <cfRule type="containsText" dxfId="6715" priority="8860" operator="containsText" text="$H$10">
      <formula>NOT(ISERROR(SEARCH($H$10,B240)))</formula>
      <formula>$H$10</formula>
    </cfRule>
    <cfRule type="containsText" dxfId="6714" priority="8859" operator="containsText" text="$H$11">
      <formula>NOT(ISERROR(SEARCH($H$11,B240)))</formula>
      <formula>$H$11</formula>
    </cfRule>
    <cfRule type="containsText" dxfId="6713" priority="8858" operator="containsText" text="$H$12">
      <formula>NOT(ISERROR(SEARCH($H$12,B240)))</formula>
      <formula>$H$12</formula>
    </cfRule>
    <cfRule type="containsText" dxfId="6712" priority="8857" operator="containsText" text="$H$13">
      <formula>NOT(ISERROR(SEARCH($H$13,B240)))</formula>
      <formula>$H$13</formula>
    </cfRule>
  </conditionalFormatting>
  <conditionalFormatting sqref="B242:B243">
    <cfRule type="containsText" dxfId="6711" priority="8856" operator="containsText" text="$H$7">
      <formula>NOT(ISERROR(SEARCH($H$7,B242)))</formula>
      <formula>$H$7</formula>
    </cfRule>
    <cfRule type="containsText" dxfId="6710" priority="8855" operator="containsText" text="$H$8">
      <formula>NOT(ISERROR(SEARCH($H$8,B242)))</formula>
      <formula>$H$8</formula>
    </cfRule>
    <cfRule type="containsText" dxfId="6709" priority="8854" operator="containsText" text="$H$8">
      <formula>NOT(ISERROR(SEARCH($H$8,B242)))</formula>
      <formula>$H$8</formula>
    </cfRule>
    <cfRule type="containsText" dxfId="6708" priority="8853" operator="containsText" text="$H$9">
      <formula>NOT(ISERROR(SEARCH($H$9,B242)))</formula>
      <formula>$H$9</formula>
    </cfRule>
    <cfRule type="containsText" dxfId="6707" priority="8852" operator="containsText" text="$H$10">
      <formula>NOT(ISERROR(SEARCH($H$10,B242)))</formula>
      <formula>$H$10</formula>
    </cfRule>
    <cfRule type="containsText" dxfId="6706" priority="8851" operator="containsText" text="$H$11">
      <formula>NOT(ISERROR(SEARCH($H$11,B242)))</formula>
      <formula>$H$11</formula>
    </cfRule>
    <cfRule type="containsText" dxfId="6705" priority="8850" operator="containsText" text="$H$12">
      <formula>NOT(ISERROR(SEARCH($H$12,B242)))</formula>
      <formula>$H$12</formula>
    </cfRule>
    <cfRule type="containsText" dxfId="6704" priority="8849" operator="containsText" text="$H$13">
      <formula>NOT(ISERROR(SEARCH($H$13,B242)))</formula>
      <formula>$H$13</formula>
    </cfRule>
  </conditionalFormatting>
  <conditionalFormatting sqref="B244:B245">
    <cfRule type="containsText" dxfId="6703" priority="8848" operator="containsText" text="$H$7">
      <formula>NOT(ISERROR(SEARCH($H$7,B244)))</formula>
      <formula>$H$7</formula>
    </cfRule>
    <cfRule type="containsText" dxfId="6702" priority="8847" operator="containsText" text="$H$8">
      <formula>NOT(ISERROR(SEARCH($H$8,B244)))</formula>
      <formula>$H$8</formula>
    </cfRule>
    <cfRule type="containsText" dxfId="6701" priority="8846" operator="containsText" text="$H$8">
      <formula>NOT(ISERROR(SEARCH($H$8,B244)))</formula>
      <formula>$H$8</formula>
    </cfRule>
    <cfRule type="containsText" dxfId="6700" priority="8845" operator="containsText" text="$H$9">
      <formula>NOT(ISERROR(SEARCH($H$9,B244)))</formula>
      <formula>$H$9</formula>
    </cfRule>
    <cfRule type="containsText" dxfId="6699" priority="8844" operator="containsText" text="$H$10">
      <formula>NOT(ISERROR(SEARCH($H$10,B244)))</formula>
      <formula>$H$10</formula>
    </cfRule>
    <cfRule type="containsText" dxfId="6698" priority="8843" operator="containsText" text="$H$11">
      <formula>NOT(ISERROR(SEARCH($H$11,B244)))</formula>
      <formula>$H$11</formula>
    </cfRule>
    <cfRule type="containsText" dxfId="6697" priority="8842" operator="containsText" text="$H$12">
      <formula>NOT(ISERROR(SEARCH($H$12,B244)))</formula>
      <formula>$H$12</formula>
    </cfRule>
    <cfRule type="containsText" dxfId="6696" priority="8841" operator="containsText" text="$H$13">
      <formula>NOT(ISERROR(SEARCH($H$13,B244)))</formula>
      <formula>$H$13</formula>
    </cfRule>
  </conditionalFormatting>
  <conditionalFormatting sqref="B246:B247">
    <cfRule type="containsText" dxfId="6695" priority="8840" operator="containsText" text="$H$7">
      <formula>NOT(ISERROR(SEARCH($H$7,B246)))</formula>
      <formula>$H$7</formula>
    </cfRule>
    <cfRule type="containsText" dxfId="6694" priority="8839" operator="containsText" text="$H$8">
      <formula>NOT(ISERROR(SEARCH($H$8,B246)))</formula>
      <formula>$H$8</formula>
    </cfRule>
    <cfRule type="containsText" dxfId="6693" priority="8838" operator="containsText" text="$H$8">
      <formula>NOT(ISERROR(SEARCH($H$8,B246)))</formula>
      <formula>$H$8</formula>
    </cfRule>
    <cfRule type="containsText" dxfId="6692" priority="8837" operator="containsText" text="$H$9">
      <formula>NOT(ISERROR(SEARCH($H$9,B246)))</formula>
      <formula>$H$9</formula>
    </cfRule>
    <cfRule type="containsText" dxfId="6691" priority="8836" operator="containsText" text="$H$10">
      <formula>NOT(ISERROR(SEARCH($H$10,B246)))</formula>
      <formula>$H$10</formula>
    </cfRule>
    <cfRule type="containsText" dxfId="6690" priority="8835" operator="containsText" text="$H$11">
      <formula>NOT(ISERROR(SEARCH($H$11,B246)))</formula>
      <formula>$H$11</formula>
    </cfRule>
    <cfRule type="containsText" dxfId="6689" priority="8834" operator="containsText" text="$H$12">
      <formula>NOT(ISERROR(SEARCH($H$12,B246)))</formula>
      <formula>$H$12</formula>
    </cfRule>
    <cfRule type="containsText" dxfId="6688" priority="8833" operator="containsText" text="$H$13">
      <formula>NOT(ISERROR(SEARCH($H$13,B246)))</formula>
      <formula>$H$13</formula>
    </cfRule>
  </conditionalFormatting>
  <conditionalFormatting sqref="B248:B249">
    <cfRule type="containsText" dxfId="6687" priority="8832" operator="containsText" text="$H$7">
      <formula>NOT(ISERROR(SEARCH($H$7,B248)))</formula>
      <formula>$H$7</formula>
    </cfRule>
    <cfRule type="containsText" dxfId="6686" priority="8831" operator="containsText" text="$H$8">
      <formula>NOT(ISERROR(SEARCH($H$8,B248)))</formula>
      <formula>$H$8</formula>
    </cfRule>
    <cfRule type="containsText" dxfId="6685" priority="8830" operator="containsText" text="$H$8">
      <formula>NOT(ISERROR(SEARCH($H$8,B248)))</formula>
      <formula>$H$8</formula>
    </cfRule>
    <cfRule type="containsText" dxfId="6684" priority="8829" operator="containsText" text="$H$9">
      <formula>NOT(ISERROR(SEARCH($H$9,B248)))</formula>
      <formula>$H$9</formula>
    </cfRule>
    <cfRule type="containsText" dxfId="6683" priority="8828" operator="containsText" text="$H$10">
      <formula>NOT(ISERROR(SEARCH($H$10,B248)))</formula>
      <formula>$H$10</formula>
    </cfRule>
    <cfRule type="containsText" dxfId="6682" priority="8827" operator="containsText" text="$H$11">
      <formula>NOT(ISERROR(SEARCH($H$11,B248)))</formula>
      <formula>$H$11</formula>
    </cfRule>
    <cfRule type="containsText" dxfId="6681" priority="8826" operator="containsText" text="$H$12">
      <formula>NOT(ISERROR(SEARCH($H$12,B248)))</formula>
      <formula>$H$12</formula>
    </cfRule>
    <cfRule type="containsText" dxfId="6680" priority="8825" operator="containsText" text="$H$13">
      <formula>NOT(ISERROR(SEARCH($H$13,B248)))</formula>
      <formula>$H$13</formula>
    </cfRule>
  </conditionalFormatting>
  <conditionalFormatting sqref="B250:B251">
    <cfRule type="containsText" dxfId="6679" priority="8824" operator="containsText" text="$H$7">
      <formula>NOT(ISERROR(SEARCH($H$7,B250)))</formula>
      <formula>$H$7</formula>
    </cfRule>
    <cfRule type="containsText" dxfId="6678" priority="8823" operator="containsText" text="$H$8">
      <formula>NOT(ISERROR(SEARCH($H$8,B250)))</formula>
      <formula>$H$8</formula>
    </cfRule>
    <cfRule type="containsText" dxfId="6677" priority="8822" operator="containsText" text="$H$8">
      <formula>NOT(ISERROR(SEARCH($H$8,B250)))</formula>
      <formula>$H$8</formula>
    </cfRule>
    <cfRule type="containsText" dxfId="6676" priority="8821" operator="containsText" text="$H$9">
      <formula>NOT(ISERROR(SEARCH($H$9,B250)))</formula>
      <formula>$H$9</formula>
    </cfRule>
    <cfRule type="containsText" dxfId="6675" priority="8820" operator="containsText" text="$H$10">
      <formula>NOT(ISERROR(SEARCH($H$10,B250)))</formula>
      <formula>$H$10</formula>
    </cfRule>
    <cfRule type="containsText" dxfId="6674" priority="8819" operator="containsText" text="$H$11">
      <formula>NOT(ISERROR(SEARCH($H$11,B250)))</formula>
      <formula>$H$11</formula>
    </cfRule>
    <cfRule type="containsText" dxfId="6673" priority="8818" operator="containsText" text="$H$12">
      <formula>NOT(ISERROR(SEARCH($H$12,B250)))</formula>
      <formula>$H$12</formula>
    </cfRule>
    <cfRule type="containsText" dxfId="6672" priority="8817" operator="containsText" text="$H$13">
      <formula>NOT(ISERROR(SEARCH($H$13,B250)))</formula>
      <formula>$H$13</formula>
    </cfRule>
  </conditionalFormatting>
  <conditionalFormatting sqref="B252:B253">
    <cfRule type="containsText" dxfId="6671" priority="8816" operator="containsText" text="$H$7">
      <formula>NOT(ISERROR(SEARCH($H$7,B252)))</formula>
      <formula>$H$7</formula>
    </cfRule>
    <cfRule type="containsText" dxfId="6670" priority="8815" operator="containsText" text="$H$8">
      <formula>NOT(ISERROR(SEARCH($H$8,B252)))</formula>
      <formula>$H$8</formula>
    </cfRule>
    <cfRule type="containsText" dxfId="6669" priority="8814" operator="containsText" text="$H$8">
      <formula>NOT(ISERROR(SEARCH($H$8,B252)))</formula>
      <formula>$H$8</formula>
    </cfRule>
    <cfRule type="containsText" dxfId="6668" priority="8813" operator="containsText" text="$H$9">
      <formula>NOT(ISERROR(SEARCH($H$9,B252)))</formula>
      <formula>$H$9</formula>
    </cfRule>
    <cfRule type="containsText" dxfId="6667" priority="8812" operator="containsText" text="$H$10">
      <formula>NOT(ISERROR(SEARCH($H$10,B252)))</formula>
      <formula>$H$10</formula>
    </cfRule>
    <cfRule type="containsText" dxfId="6666" priority="8811" operator="containsText" text="$H$11">
      <formula>NOT(ISERROR(SEARCH($H$11,B252)))</formula>
      <formula>$H$11</formula>
    </cfRule>
    <cfRule type="containsText" dxfId="6665" priority="8810" operator="containsText" text="$H$12">
      <formula>NOT(ISERROR(SEARCH($H$12,B252)))</formula>
      <formula>$H$12</formula>
    </cfRule>
    <cfRule type="containsText" dxfId="6664" priority="8809" operator="containsText" text="$H$13">
      <formula>NOT(ISERROR(SEARCH($H$13,B252)))</formula>
      <formula>$H$13</formula>
    </cfRule>
  </conditionalFormatting>
  <conditionalFormatting sqref="B254:B255">
    <cfRule type="containsText" dxfId="6663" priority="8808" operator="containsText" text="$H$7">
      <formula>NOT(ISERROR(SEARCH($H$7,B254)))</formula>
      <formula>$H$7</formula>
    </cfRule>
    <cfRule type="containsText" dxfId="6662" priority="8807" operator="containsText" text="$H$8">
      <formula>NOT(ISERROR(SEARCH($H$8,B254)))</formula>
      <formula>$H$8</formula>
    </cfRule>
    <cfRule type="containsText" dxfId="6661" priority="8806" operator="containsText" text="$H$8">
      <formula>NOT(ISERROR(SEARCH($H$8,B254)))</formula>
      <formula>$H$8</formula>
    </cfRule>
    <cfRule type="containsText" dxfId="6660" priority="8805" operator="containsText" text="$H$9">
      <formula>NOT(ISERROR(SEARCH($H$9,B254)))</formula>
      <formula>$H$9</formula>
    </cfRule>
    <cfRule type="containsText" dxfId="6659" priority="8804" operator="containsText" text="$H$10">
      <formula>NOT(ISERROR(SEARCH($H$10,B254)))</formula>
      <formula>$H$10</formula>
    </cfRule>
    <cfRule type="containsText" dxfId="6658" priority="8803" operator="containsText" text="$H$11">
      <formula>NOT(ISERROR(SEARCH($H$11,B254)))</formula>
      <formula>$H$11</formula>
    </cfRule>
    <cfRule type="containsText" dxfId="6657" priority="8802" operator="containsText" text="$H$12">
      <formula>NOT(ISERROR(SEARCH($H$12,B254)))</formula>
      <formula>$H$12</formula>
    </cfRule>
    <cfRule type="containsText" dxfId="6656" priority="8801" operator="containsText" text="$H$13">
      <formula>NOT(ISERROR(SEARCH($H$13,B254)))</formula>
      <formula>$H$13</formula>
    </cfRule>
  </conditionalFormatting>
  <conditionalFormatting sqref="D240:D241">
    <cfRule type="containsText" dxfId="6655" priority="8800" operator="containsText" text="$H$7">
      <formula>NOT(ISERROR(SEARCH($H$7,D240)))</formula>
      <formula>$H$7</formula>
    </cfRule>
    <cfRule type="containsText" dxfId="6654" priority="8799" operator="containsText" text="$H$8">
      <formula>NOT(ISERROR(SEARCH($H$8,D240)))</formula>
      <formula>$H$8</formula>
    </cfRule>
    <cfRule type="containsText" dxfId="6653" priority="8798" operator="containsText" text="$H$8">
      <formula>NOT(ISERROR(SEARCH($H$8,D240)))</formula>
      <formula>$H$8</formula>
    </cfRule>
    <cfRule type="containsText" dxfId="6652" priority="8797" operator="containsText" text="$H$9">
      <formula>NOT(ISERROR(SEARCH($H$9,D240)))</formula>
      <formula>$H$9</formula>
    </cfRule>
    <cfRule type="containsText" dxfId="6651" priority="8796" operator="containsText" text="$H$10">
      <formula>NOT(ISERROR(SEARCH($H$10,D240)))</formula>
      <formula>$H$10</formula>
    </cfRule>
    <cfRule type="containsText" dxfId="6650" priority="8795" operator="containsText" text="$H$11">
      <formula>NOT(ISERROR(SEARCH($H$11,D240)))</formula>
      <formula>$H$11</formula>
    </cfRule>
    <cfRule type="containsText" dxfId="6649" priority="8794" operator="containsText" text="$H$12">
      <formula>NOT(ISERROR(SEARCH($H$12,D240)))</formula>
      <formula>$H$12</formula>
    </cfRule>
    <cfRule type="containsText" dxfId="6648" priority="8793" operator="containsText" text="$H$13">
      <formula>NOT(ISERROR(SEARCH($H$13,D240)))</formula>
      <formula>$H$13</formula>
    </cfRule>
  </conditionalFormatting>
  <conditionalFormatting sqref="D242:D243">
    <cfRule type="containsText" dxfId="6647" priority="8792" operator="containsText" text="$H$7">
      <formula>NOT(ISERROR(SEARCH($H$7,D242)))</formula>
      <formula>$H$7</formula>
    </cfRule>
    <cfRule type="containsText" dxfId="6646" priority="8791" operator="containsText" text="$H$8">
      <formula>NOT(ISERROR(SEARCH($H$8,D242)))</formula>
      <formula>$H$8</formula>
    </cfRule>
    <cfRule type="containsText" dxfId="6645" priority="8790" operator="containsText" text="$H$8">
      <formula>NOT(ISERROR(SEARCH($H$8,D242)))</formula>
      <formula>$H$8</formula>
    </cfRule>
    <cfRule type="containsText" dxfId="6644" priority="8789" operator="containsText" text="$H$9">
      <formula>NOT(ISERROR(SEARCH($H$9,D242)))</formula>
      <formula>$H$9</formula>
    </cfRule>
    <cfRule type="containsText" dxfId="6643" priority="8788" operator="containsText" text="$H$10">
      <formula>NOT(ISERROR(SEARCH($H$10,D242)))</formula>
      <formula>$H$10</formula>
    </cfRule>
    <cfRule type="containsText" dxfId="6642" priority="8787" operator="containsText" text="$H$11">
      <formula>NOT(ISERROR(SEARCH($H$11,D242)))</formula>
      <formula>$H$11</formula>
    </cfRule>
    <cfRule type="containsText" dxfId="6641" priority="8786" operator="containsText" text="$H$12">
      <formula>NOT(ISERROR(SEARCH($H$12,D242)))</formula>
      <formula>$H$12</formula>
    </cfRule>
    <cfRule type="containsText" dxfId="6640" priority="8785" operator="containsText" text="$H$13">
      <formula>NOT(ISERROR(SEARCH($H$13,D242)))</formula>
      <formula>$H$13</formula>
    </cfRule>
  </conditionalFormatting>
  <conditionalFormatting sqref="D244:D245">
    <cfRule type="containsText" dxfId="6639" priority="8784" operator="containsText" text="$H$7">
      <formula>NOT(ISERROR(SEARCH($H$7,D244)))</formula>
      <formula>$H$7</formula>
    </cfRule>
    <cfRule type="containsText" dxfId="6638" priority="8783" operator="containsText" text="$H$8">
      <formula>NOT(ISERROR(SEARCH($H$8,D244)))</formula>
      <formula>$H$8</formula>
    </cfRule>
    <cfRule type="containsText" dxfId="6637" priority="8782" operator="containsText" text="$H$8">
      <formula>NOT(ISERROR(SEARCH($H$8,D244)))</formula>
      <formula>$H$8</formula>
    </cfRule>
    <cfRule type="containsText" dxfId="6636" priority="8781" operator="containsText" text="$H$9">
      <formula>NOT(ISERROR(SEARCH($H$9,D244)))</formula>
      <formula>$H$9</formula>
    </cfRule>
    <cfRule type="containsText" dxfId="6635" priority="8780" operator="containsText" text="$H$10">
      <formula>NOT(ISERROR(SEARCH($H$10,D244)))</formula>
      <formula>$H$10</formula>
    </cfRule>
    <cfRule type="containsText" dxfId="6634" priority="8779" operator="containsText" text="$H$11">
      <formula>NOT(ISERROR(SEARCH($H$11,D244)))</formula>
      <formula>$H$11</formula>
    </cfRule>
    <cfRule type="containsText" dxfId="6633" priority="8778" operator="containsText" text="$H$12">
      <formula>NOT(ISERROR(SEARCH($H$12,D244)))</formula>
      <formula>$H$12</formula>
    </cfRule>
    <cfRule type="containsText" dxfId="6632" priority="8777" operator="containsText" text="$H$13">
      <formula>NOT(ISERROR(SEARCH($H$13,D244)))</formula>
      <formula>$H$13</formula>
    </cfRule>
  </conditionalFormatting>
  <conditionalFormatting sqref="D246:D247">
    <cfRule type="containsText" dxfId="6631" priority="8776" operator="containsText" text="$H$7">
      <formula>NOT(ISERROR(SEARCH($H$7,D246)))</formula>
      <formula>$H$7</formula>
    </cfRule>
    <cfRule type="containsText" dxfId="6630" priority="8775" operator="containsText" text="$H$8">
      <formula>NOT(ISERROR(SEARCH($H$8,D246)))</formula>
      <formula>$H$8</formula>
    </cfRule>
    <cfRule type="containsText" dxfId="6629" priority="8774" operator="containsText" text="$H$8">
      <formula>NOT(ISERROR(SEARCH($H$8,D246)))</formula>
      <formula>$H$8</formula>
    </cfRule>
    <cfRule type="containsText" dxfId="6628" priority="8773" operator="containsText" text="$H$9">
      <formula>NOT(ISERROR(SEARCH($H$9,D246)))</formula>
      <formula>$H$9</formula>
    </cfRule>
    <cfRule type="containsText" dxfId="6627" priority="8772" operator="containsText" text="$H$10">
      <formula>NOT(ISERROR(SEARCH($H$10,D246)))</formula>
      <formula>$H$10</formula>
    </cfRule>
    <cfRule type="containsText" dxfId="6626" priority="8771" operator="containsText" text="$H$11">
      <formula>NOT(ISERROR(SEARCH($H$11,D246)))</formula>
      <formula>$H$11</formula>
    </cfRule>
    <cfRule type="containsText" dxfId="6625" priority="8770" operator="containsText" text="$H$12">
      <formula>NOT(ISERROR(SEARCH($H$12,D246)))</formula>
      <formula>$H$12</formula>
    </cfRule>
    <cfRule type="containsText" dxfId="6624" priority="8769" operator="containsText" text="$H$13">
      <formula>NOT(ISERROR(SEARCH($H$13,D246)))</formula>
      <formula>$H$13</formula>
    </cfRule>
  </conditionalFormatting>
  <conditionalFormatting sqref="D248:D255">
    <cfRule type="containsText" dxfId="6623" priority="8768" operator="containsText" text="$H$7">
      <formula>NOT(ISERROR(SEARCH($H$7,D248)))</formula>
      <formula>$H$7</formula>
    </cfRule>
    <cfRule type="containsText" dxfId="6622" priority="8767" operator="containsText" text="$H$8">
      <formula>NOT(ISERROR(SEARCH($H$8,D248)))</formula>
      <formula>$H$8</formula>
    </cfRule>
    <cfRule type="containsText" dxfId="6621" priority="8766" operator="containsText" text="$H$8">
      <formula>NOT(ISERROR(SEARCH($H$8,D248)))</formula>
      <formula>$H$8</formula>
    </cfRule>
    <cfRule type="containsText" dxfId="6620" priority="8765" operator="containsText" text="$H$9">
      <formula>NOT(ISERROR(SEARCH($H$9,D248)))</formula>
      <formula>$H$9</formula>
    </cfRule>
    <cfRule type="containsText" dxfId="6619" priority="8764" operator="containsText" text="$H$10">
      <formula>NOT(ISERROR(SEARCH($H$10,D248)))</formula>
      <formula>$H$10</formula>
    </cfRule>
    <cfRule type="containsText" dxfId="6618" priority="8763" operator="containsText" text="$H$11">
      <formula>NOT(ISERROR(SEARCH($H$11,D248)))</formula>
      <formula>$H$11</formula>
    </cfRule>
    <cfRule type="containsText" dxfId="6617" priority="8762" operator="containsText" text="$H$12">
      <formula>NOT(ISERROR(SEARCH($H$12,D248)))</formula>
      <formula>$H$12</formula>
    </cfRule>
    <cfRule type="containsText" dxfId="6616" priority="8761" operator="containsText" text="$H$13">
      <formula>NOT(ISERROR(SEARCH($H$13,D248)))</formula>
      <formula>$H$13</formula>
    </cfRule>
  </conditionalFormatting>
  <conditionalFormatting sqref="D222:D223">
    <cfRule type="containsText" dxfId="6615" priority="8760" operator="containsText" text="$H$7">
      <formula>NOT(ISERROR(SEARCH($H$7,D222)))</formula>
      <formula>$H$7</formula>
    </cfRule>
    <cfRule type="containsText" dxfId="6614" priority="8759" operator="containsText" text="$H$8">
      <formula>NOT(ISERROR(SEARCH($H$8,D222)))</formula>
      <formula>$H$8</formula>
    </cfRule>
    <cfRule type="containsText" dxfId="6613" priority="8758" operator="containsText" text="$H$8">
      <formula>NOT(ISERROR(SEARCH($H$8,D222)))</formula>
      <formula>$H$8</formula>
    </cfRule>
    <cfRule type="containsText" dxfId="6612" priority="8757" operator="containsText" text="$H$9">
      <formula>NOT(ISERROR(SEARCH($H$9,D222)))</formula>
      <formula>$H$9</formula>
    </cfRule>
    <cfRule type="containsText" dxfId="6611" priority="8756" operator="containsText" text="$H$10">
      <formula>NOT(ISERROR(SEARCH($H$10,D222)))</formula>
      <formula>$H$10</formula>
    </cfRule>
    <cfRule type="containsText" dxfId="6610" priority="8755" operator="containsText" text="$H$11">
      <formula>NOT(ISERROR(SEARCH($H$11,D222)))</formula>
      <formula>$H$11</formula>
    </cfRule>
    <cfRule type="containsText" dxfId="6609" priority="8754" operator="containsText" text="$H$12">
      <formula>NOT(ISERROR(SEARCH($H$12,D222)))</formula>
      <formula>$H$12</formula>
    </cfRule>
    <cfRule type="containsText" dxfId="6608" priority="8753" operator="containsText" text="$H$13">
      <formula>NOT(ISERROR(SEARCH($H$13,D222)))</formula>
      <formula>$H$13</formula>
    </cfRule>
  </conditionalFormatting>
  <conditionalFormatting sqref="D224:D225">
    <cfRule type="containsText" dxfId="6607" priority="8752" operator="containsText" text="$H$7">
      <formula>NOT(ISERROR(SEARCH($H$7,D224)))</formula>
      <formula>$H$7</formula>
    </cfRule>
    <cfRule type="containsText" dxfId="6606" priority="8751" operator="containsText" text="$H$8">
      <formula>NOT(ISERROR(SEARCH($H$8,D224)))</formula>
      <formula>$H$8</formula>
    </cfRule>
    <cfRule type="containsText" dxfId="6605" priority="8750" operator="containsText" text="$H$8">
      <formula>NOT(ISERROR(SEARCH($H$8,D224)))</formula>
      <formula>$H$8</formula>
    </cfRule>
    <cfRule type="containsText" dxfId="6604" priority="8749" operator="containsText" text="$H$9">
      <formula>NOT(ISERROR(SEARCH($H$9,D224)))</formula>
      <formula>$H$9</formula>
    </cfRule>
    <cfRule type="containsText" dxfId="6603" priority="8748" operator="containsText" text="$H$10">
      <formula>NOT(ISERROR(SEARCH($H$10,D224)))</formula>
      <formula>$H$10</formula>
    </cfRule>
    <cfRule type="containsText" dxfId="6602" priority="8747" operator="containsText" text="$H$11">
      <formula>NOT(ISERROR(SEARCH($H$11,D224)))</formula>
      <formula>$H$11</formula>
    </cfRule>
    <cfRule type="containsText" dxfId="6601" priority="8746" operator="containsText" text="$H$12">
      <formula>NOT(ISERROR(SEARCH($H$12,D224)))</formula>
      <formula>$H$12</formula>
    </cfRule>
    <cfRule type="containsText" dxfId="6600" priority="8745" operator="containsText" text="$H$13">
      <formula>NOT(ISERROR(SEARCH($H$13,D224)))</formula>
      <formula>$H$13</formula>
    </cfRule>
  </conditionalFormatting>
  <conditionalFormatting sqref="D226:D227">
    <cfRule type="containsText" dxfId="6599" priority="8744" operator="containsText" text="$H$7">
      <formula>NOT(ISERROR(SEARCH($H$7,D226)))</formula>
      <formula>$H$7</formula>
    </cfRule>
    <cfRule type="containsText" dxfId="6598" priority="8743" operator="containsText" text="$H$8">
      <formula>NOT(ISERROR(SEARCH($H$8,D226)))</formula>
      <formula>$H$8</formula>
    </cfRule>
    <cfRule type="containsText" dxfId="6597" priority="8742" operator="containsText" text="$H$8">
      <formula>NOT(ISERROR(SEARCH($H$8,D226)))</formula>
      <formula>$H$8</formula>
    </cfRule>
    <cfRule type="containsText" dxfId="6596" priority="8741" operator="containsText" text="$H$9">
      <formula>NOT(ISERROR(SEARCH($H$9,D226)))</formula>
      <formula>$H$9</formula>
    </cfRule>
    <cfRule type="containsText" dxfId="6595" priority="8740" operator="containsText" text="$H$10">
      <formula>NOT(ISERROR(SEARCH($H$10,D226)))</formula>
      <formula>$H$10</formula>
    </cfRule>
    <cfRule type="containsText" dxfId="6594" priority="8739" operator="containsText" text="$H$11">
      <formula>NOT(ISERROR(SEARCH($H$11,D226)))</formula>
      <formula>$H$11</formula>
    </cfRule>
    <cfRule type="containsText" dxfId="6593" priority="8738" operator="containsText" text="$H$12">
      <formula>NOT(ISERROR(SEARCH($H$12,D226)))</formula>
      <formula>$H$12</formula>
    </cfRule>
    <cfRule type="containsText" dxfId="6592" priority="8737" operator="containsText" text="$H$13">
      <formula>NOT(ISERROR(SEARCH($H$13,D226)))</formula>
      <formula>$H$13</formula>
    </cfRule>
  </conditionalFormatting>
  <conditionalFormatting sqref="D228:D229">
    <cfRule type="containsText" dxfId="6591" priority="8736" operator="containsText" text="$H$7">
      <formula>NOT(ISERROR(SEARCH($H$7,D228)))</formula>
      <formula>$H$7</formula>
    </cfRule>
    <cfRule type="containsText" dxfId="6590" priority="8735" operator="containsText" text="$H$8">
      <formula>NOT(ISERROR(SEARCH($H$8,D228)))</formula>
      <formula>$H$8</formula>
    </cfRule>
    <cfRule type="containsText" dxfId="6589" priority="8734" operator="containsText" text="$H$8">
      <formula>NOT(ISERROR(SEARCH($H$8,D228)))</formula>
      <formula>$H$8</formula>
    </cfRule>
    <cfRule type="containsText" dxfId="6588" priority="8733" operator="containsText" text="$H$9">
      <formula>NOT(ISERROR(SEARCH($H$9,D228)))</formula>
      <formula>$H$9</formula>
    </cfRule>
    <cfRule type="containsText" dxfId="6587" priority="8732" operator="containsText" text="$H$10">
      <formula>NOT(ISERROR(SEARCH($H$10,D228)))</formula>
      <formula>$H$10</formula>
    </cfRule>
    <cfRule type="containsText" dxfId="6586" priority="8731" operator="containsText" text="$H$11">
      <formula>NOT(ISERROR(SEARCH($H$11,D228)))</formula>
      <formula>$H$11</formula>
    </cfRule>
    <cfRule type="containsText" dxfId="6585" priority="8730" operator="containsText" text="$H$12">
      <formula>NOT(ISERROR(SEARCH($H$12,D228)))</formula>
      <formula>$H$12</formula>
    </cfRule>
    <cfRule type="containsText" dxfId="6584" priority="8729" operator="containsText" text="$H$13">
      <formula>NOT(ISERROR(SEARCH($H$13,D228)))</formula>
      <formula>$H$13</formula>
    </cfRule>
  </conditionalFormatting>
  <conditionalFormatting sqref="F240:F241">
    <cfRule type="containsText" dxfId="6583" priority="8728" operator="containsText" text="$H$7">
      <formula>NOT(ISERROR(SEARCH($H$7,F240)))</formula>
      <formula>$H$7</formula>
    </cfRule>
    <cfRule type="containsText" dxfId="6582" priority="8727" operator="containsText" text="$H$8">
      <formula>NOT(ISERROR(SEARCH($H$8,F240)))</formula>
      <formula>$H$8</formula>
    </cfRule>
    <cfRule type="containsText" dxfId="6581" priority="8726" operator="containsText" text="$H$8">
      <formula>NOT(ISERROR(SEARCH($H$8,F240)))</formula>
      <formula>$H$8</formula>
    </cfRule>
    <cfRule type="containsText" dxfId="6580" priority="8725" operator="containsText" text="$H$9">
      <formula>NOT(ISERROR(SEARCH($H$9,F240)))</formula>
      <formula>$H$9</formula>
    </cfRule>
    <cfRule type="containsText" dxfId="6579" priority="8724" operator="containsText" text="$H$10">
      <formula>NOT(ISERROR(SEARCH($H$10,F240)))</formula>
      <formula>$H$10</formula>
    </cfRule>
    <cfRule type="containsText" dxfId="6578" priority="8723" operator="containsText" text="$H$11">
      <formula>NOT(ISERROR(SEARCH($H$11,F240)))</formula>
      <formula>$H$11</formula>
    </cfRule>
    <cfRule type="containsText" dxfId="6577" priority="8722" operator="containsText" text="$H$12">
      <formula>NOT(ISERROR(SEARCH($H$12,F240)))</formula>
      <formula>$H$12</formula>
    </cfRule>
    <cfRule type="containsText" dxfId="6576" priority="8721" operator="containsText" text="$H$13">
      <formula>NOT(ISERROR(SEARCH($H$13,F240)))</formula>
      <formula>$H$13</formula>
    </cfRule>
  </conditionalFormatting>
  <conditionalFormatting sqref="F242:F243">
    <cfRule type="containsText" dxfId="6575" priority="8720" operator="containsText" text="$H$7">
      <formula>NOT(ISERROR(SEARCH($H$7,F242)))</formula>
      <formula>$H$7</formula>
    </cfRule>
    <cfRule type="containsText" dxfId="6574" priority="8719" operator="containsText" text="$H$8">
      <formula>NOT(ISERROR(SEARCH($H$8,F242)))</formula>
      <formula>$H$8</formula>
    </cfRule>
    <cfRule type="containsText" dxfId="6573" priority="8718" operator="containsText" text="$H$8">
      <formula>NOT(ISERROR(SEARCH($H$8,F242)))</formula>
      <formula>$H$8</formula>
    </cfRule>
    <cfRule type="containsText" dxfId="6572" priority="8717" operator="containsText" text="$H$9">
      <formula>NOT(ISERROR(SEARCH($H$9,F242)))</formula>
      <formula>$H$9</formula>
    </cfRule>
    <cfRule type="containsText" dxfId="6571" priority="8716" operator="containsText" text="$H$10">
      <formula>NOT(ISERROR(SEARCH($H$10,F242)))</formula>
      <formula>$H$10</formula>
    </cfRule>
    <cfRule type="containsText" dxfId="6570" priority="8715" operator="containsText" text="$H$11">
      <formula>NOT(ISERROR(SEARCH($H$11,F242)))</formula>
      <formula>$H$11</formula>
    </cfRule>
    <cfRule type="containsText" dxfId="6569" priority="8714" operator="containsText" text="$H$12">
      <formula>NOT(ISERROR(SEARCH($H$12,F242)))</formula>
      <formula>$H$12</formula>
    </cfRule>
    <cfRule type="containsText" dxfId="6568" priority="8713" operator="containsText" text="$H$13">
      <formula>NOT(ISERROR(SEARCH($H$13,F242)))</formula>
      <formula>$H$13</formula>
    </cfRule>
  </conditionalFormatting>
  <conditionalFormatting sqref="F244:F245">
    <cfRule type="containsText" dxfId="6567" priority="8712" operator="containsText" text="$H$7">
      <formula>NOT(ISERROR(SEARCH($H$7,F244)))</formula>
      <formula>$H$7</formula>
    </cfRule>
    <cfRule type="containsText" dxfId="6566" priority="8711" operator="containsText" text="$H$8">
      <formula>NOT(ISERROR(SEARCH($H$8,F244)))</formula>
      <formula>$H$8</formula>
    </cfRule>
    <cfRule type="containsText" dxfId="6565" priority="8710" operator="containsText" text="$H$8">
      <formula>NOT(ISERROR(SEARCH($H$8,F244)))</formula>
      <formula>$H$8</formula>
    </cfRule>
    <cfRule type="containsText" dxfId="6564" priority="8709" operator="containsText" text="$H$9">
      <formula>NOT(ISERROR(SEARCH($H$9,F244)))</formula>
      <formula>$H$9</formula>
    </cfRule>
    <cfRule type="containsText" dxfId="6563" priority="8708" operator="containsText" text="$H$10">
      <formula>NOT(ISERROR(SEARCH($H$10,F244)))</formula>
      <formula>$H$10</formula>
    </cfRule>
    <cfRule type="containsText" dxfId="6562" priority="8707" operator="containsText" text="$H$11">
      <formula>NOT(ISERROR(SEARCH($H$11,F244)))</formula>
      <formula>$H$11</formula>
    </cfRule>
    <cfRule type="containsText" dxfId="6561" priority="8706" operator="containsText" text="$H$12">
      <formula>NOT(ISERROR(SEARCH($H$12,F244)))</formula>
      <formula>$H$12</formula>
    </cfRule>
    <cfRule type="containsText" dxfId="6560" priority="8705" operator="containsText" text="$H$13">
      <formula>NOT(ISERROR(SEARCH($H$13,F244)))</formula>
      <formula>$H$13</formula>
    </cfRule>
  </conditionalFormatting>
  <conditionalFormatting sqref="F246:F247">
    <cfRule type="containsText" dxfId="6559" priority="8704" operator="containsText" text="$H$7">
      <formula>NOT(ISERROR(SEARCH($H$7,F246)))</formula>
      <formula>$H$7</formula>
    </cfRule>
    <cfRule type="containsText" dxfId="6558" priority="8703" operator="containsText" text="$H$8">
      <formula>NOT(ISERROR(SEARCH($H$8,F246)))</formula>
      <formula>$H$8</formula>
    </cfRule>
    <cfRule type="containsText" dxfId="6557" priority="8702" operator="containsText" text="$H$8">
      <formula>NOT(ISERROR(SEARCH($H$8,F246)))</formula>
      <formula>$H$8</formula>
    </cfRule>
    <cfRule type="containsText" dxfId="6556" priority="8701" operator="containsText" text="$H$9">
      <formula>NOT(ISERROR(SEARCH($H$9,F246)))</formula>
      <formula>$H$9</formula>
    </cfRule>
    <cfRule type="containsText" dxfId="6555" priority="8700" operator="containsText" text="$H$10">
      <formula>NOT(ISERROR(SEARCH($H$10,F246)))</formula>
      <formula>$H$10</formula>
    </cfRule>
    <cfRule type="containsText" dxfId="6554" priority="8699" operator="containsText" text="$H$11">
      <formula>NOT(ISERROR(SEARCH($H$11,F246)))</formula>
      <formula>$H$11</formula>
    </cfRule>
    <cfRule type="containsText" dxfId="6553" priority="8698" operator="containsText" text="$H$12">
      <formula>NOT(ISERROR(SEARCH($H$12,F246)))</formula>
      <formula>$H$12</formula>
    </cfRule>
    <cfRule type="containsText" dxfId="6552" priority="8697" operator="containsText" text="$H$13">
      <formula>NOT(ISERROR(SEARCH($H$13,F246)))</formula>
      <formula>$H$13</formula>
    </cfRule>
  </conditionalFormatting>
  <conditionalFormatting sqref="F248:F255">
    <cfRule type="containsText" dxfId="6551" priority="8696" operator="containsText" text="$H$7">
      <formula>NOT(ISERROR(SEARCH($H$7,F248)))</formula>
      <formula>$H$7</formula>
    </cfRule>
    <cfRule type="containsText" dxfId="6550" priority="8695" operator="containsText" text="$H$8">
      <formula>NOT(ISERROR(SEARCH($H$8,F248)))</formula>
      <formula>$H$8</formula>
    </cfRule>
    <cfRule type="containsText" dxfId="6549" priority="8694" operator="containsText" text="$H$8">
      <formula>NOT(ISERROR(SEARCH($H$8,F248)))</formula>
      <formula>$H$8</formula>
    </cfRule>
    <cfRule type="containsText" dxfId="6548" priority="8693" operator="containsText" text="$H$9">
      <formula>NOT(ISERROR(SEARCH($H$9,F248)))</formula>
      <formula>$H$9</formula>
    </cfRule>
    <cfRule type="containsText" dxfId="6547" priority="8692" operator="containsText" text="$H$10">
      <formula>NOT(ISERROR(SEARCH($H$10,F248)))</formula>
      <formula>$H$10</formula>
    </cfRule>
    <cfRule type="containsText" dxfId="6546" priority="8691" operator="containsText" text="$H$11">
      <formula>NOT(ISERROR(SEARCH($H$11,F248)))</formula>
      <formula>$H$11</formula>
    </cfRule>
    <cfRule type="containsText" dxfId="6545" priority="8690" operator="containsText" text="$H$12">
      <formula>NOT(ISERROR(SEARCH($H$12,F248)))</formula>
      <formula>$H$12</formula>
    </cfRule>
    <cfRule type="containsText" dxfId="6544" priority="8689" operator="containsText" text="$H$13">
      <formula>NOT(ISERROR(SEARCH($H$13,F248)))</formula>
      <formula>$H$13</formula>
    </cfRule>
  </conditionalFormatting>
  <conditionalFormatting sqref="B258:B259">
    <cfRule type="containsText" dxfId="6543" priority="8688" operator="containsText" text="$H$7">
      <formula>NOT(ISERROR(SEARCH($H$7,B258)))</formula>
      <formula>$H$7</formula>
    </cfRule>
    <cfRule type="containsText" dxfId="6542" priority="8687" operator="containsText" text="$H$8">
      <formula>NOT(ISERROR(SEARCH($H$8,B258)))</formula>
      <formula>$H$8</formula>
    </cfRule>
    <cfRule type="containsText" dxfId="6541" priority="8686" operator="containsText" text="$H$8">
      <formula>NOT(ISERROR(SEARCH($H$8,B258)))</formula>
      <formula>$H$8</formula>
    </cfRule>
    <cfRule type="containsText" dxfId="6540" priority="8685" operator="containsText" text="$H$9">
      <formula>NOT(ISERROR(SEARCH($H$9,B258)))</formula>
      <formula>$H$9</formula>
    </cfRule>
    <cfRule type="containsText" dxfId="6539" priority="8684" operator="containsText" text="$H$10">
      <formula>NOT(ISERROR(SEARCH($H$10,B258)))</formula>
      <formula>$H$10</formula>
    </cfRule>
    <cfRule type="containsText" dxfId="6538" priority="8683" operator="containsText" text="$H$11">
      <formula>NOT(ISERROR(SEARCH($H$11,B258)))</formula>
      <formula>$H$11</formula>
    </cfRule>
    <cfRule type="containsText" dxfId="6537" priority="8682" operator="containsText" text="$H$12">
      <formula>NOT(ISERROR(SEARCH($H$12,B258)))</formula>
      <formula>$H$12</formula>
    </cfRule>
    <cfRule type="containsText" dxfId="6536" priority="8681" operator="containsText" text="$H$13">
      <formula>NOT(ISERROR(SEARCH($H$13,B258)))</formula>
      <formula>$H$13</formula>
    </cfRule>
  </conditionalFormatting>
  <conditionalFormatting sqref="B260:B261">
    <cfRule type="containsText" dxfId="6535" priority="8680" operator="containsText" text="$H$7">
      <formula>NOT(ISERROR(SEARCH($H$7,B260)))</formula>
      <formula>$H$7</formula>
    </cfRule>
    <cfRule type="containsText" dxfId="6534" priority="8679" operator="containsText" text="$H$8">
      <formula>NOT(ISERROR(SEARCH($H$8,B260)))</formula>
      <formula>$H$8</formula>
    </cfRule>
    <cfRule type="containsText" dxfId="6533" priority="8678" operator="containsText" text="$H$8">
      <formula>NOT(ISERROR(SEARCH($H$8,B260)))</formula>
      <formula>$H$8</formula>
    </cfRule>
    <cfRule type="containsText" dxfId="6532" priority="8677" operator="containsText" text="$H$9">
      <formula>NOT(ISERROR(SEARCH($H$9,B260)))</formula>
      <formula>$H$9</formula>
    </cfRule>
    <cfRule type="containsText" dxfId="6531" priority="8676" operator="containsText" text="$H$10">
      <formula>NOT(ISERROR(SEARCH($H$10,B260)))</formula>
      <formula>$H$10</formula>
    </cfRule>
    <cfRule type="containsText" dxfId="6530" priority="8675" operator="containsText" text="$H$11">
      <formula>NOT(ISERROR(SEARCH($H$11,B260)))</formula>
      <formula>$H$11</formula>
    </cfRule>
    <cfRule type="containsText" dxfId="6529" priority="8674" operator="containsText" text="$H$12">
      <formula>NOT(ISERROR(SEARCH($H$12,B260)))</formula>
      <formula>$H$12</formula>
    </cfRule>
    <cfRule type="containsText" dxfId="6528" priority="8673" operator="containsText" text="$H$13">
      <formula>NOT(ISERROR(SEARCH($H$13,B260)))</formula>
      <formula>$H$13</formula>
    </cfRule>
  </conditionalFormatting>
  <conditionalFormatting sqref="B262:B263">
    <cfRule type="containsText" dxfId="6527" priority="8672" operator="containsText" text="$H$7">
      <formula>NOT(ISERROR(SEARCH($H$7,B262)))</formula>
      <formula>$H$7</formula>
    </cfRule>
    <cfRule type="containsText" dxfId="6526" priority="8671" operator="containsText" text="$H$8">
      <formula>NOT(ISERROR(SEARCH($H$8,B262)))</formula>
      <formula>$H$8</formula>
    </cfRule>
    <cfRule type="containsText" dxfId="6525" priority="8670" operator="containsText" text="$H$8">
      <formula>NOT(ISERROR(SEARCH($H$8,B262)))</formula>
      <formula>$H$8</formula>
    </cfRule>
    <cfRule type="containsText" dxfId="6524" priority="8669" operator="containsText" text="$H$9">
      <formula>NOT(ISERROR(SEARCH($H$9,B262)))</formula>
      <formula>$H$9</formula>
    </cfRule>
    <cfRule type="containsText" dxfId="6523" priority="8668" operator="containsText" text="$H$10">
      <formula>NOT(ISERROR(SEARCH($H$10,B262)))</formula>
      <formula>$H$10</formula>
    </cfRule>
    <cfRule type="containsText" dxfId="6522" priority="8667" operator="containsText" text="$H$11">
      <formula>NOT(ISERROR(SEARCH($H$11,B262)))</formula>
      <formula>$H$11</formula>
    </cfRule>
    <cfRule type="containsText" dxfId="6521" priority="8666" operator="containsText" text="$H$12">
      <formula>NOT(ISERROR(SEARCH($H$12,B262)))</formula>
      <formula>$H$12</formula>
    </cfRule>
    <cfRule type="containsText" dxfId="6520" priority="8665" operator="containsText" text="$H$13">
      <formula>NOT(ISERROR(SEARCH($H$13,B262)))</formula>
      <formula>$H$13</formula>
    </cfRule>
  </conditionalFormatting>
  <conditionalFormatting sqref="B264:B265">
    <cfRule type="containsText" dxfId="6519" priority="8664" operator="containsText" text="$H$7">
      <formula>NOT(ISERROR(SEARCH($H$7,B264)))</formula>
      <formula>$H$7</formula>
    </cfRule>
    <cfRule type="containsText" dxfId="6518" priority="8663" operator="containsText" text="$H$8">
      <formula>NOT(ISERROR(SEARCH($H$8,B264)))</formula>
      <formula>$H$8</formula>
    </cfRule>
    <cfRule type="containsText" dxfId="6517" priority="8662" operator="containsText" text="$H$8">
      <formula>NOT(ISERROR(SEARCH($H$8,B264)))</formula>
      <formula>$H$8</formula>
    </cfRule>
    <cfRule type="containsText" dxfId="6516" priority="8661" operator="containsText" text="$H$9">
      <formula>NOT(ISERROR(SEARCH($H$9,B264)))</formula>
      <formula>$H$9</formula>
    </cfRule>
    <cfRule type="containsText" dxfId="6515" priority="8660" operator="containsText" text="$H$10">
      <formula>NOT(ISERROR(SEARCH($H$10,B264)))</formula>
      <formula>$H$10</formula>
    </cfRule>
    <cfRule type="containsText" dxfId="6514" priority="8659" operator="containsText" text="$H$11">
      <formula>NOT(ISERROR(SEARCH($H$11,B264)))</formula>
      <formula>$H$11</formula>
    </cfRule>
    <cfRule type="containsText" dxfId="6513" priority="8658" operator="containsText" text="$H$12">
      <formula>NOT(ISERROR(SEARCH($H$12,B264)))</formula>
      <formula>$H$12</formula>
    </cfRule>
    <cfRule type="containsText" dxfId="6512" priority="8657" operator="containsText" text="$H$13">
      <formula>NOT(ISERROR(SEARCH($H$13,B264)))</formula>
      <formula>$H$13</formula>
    </cfRule>
  </conditionalFormatting>
  <conditionalFormatting sqref="D258:D259">
    <cfRule type="containsText" dxfId="6511" priority="8656" operator="containsText" text="$H$7">
      <formula>NOT(ISERROR(SEARCH($H$7,D258)))</formula>
      <formula>$H$7</formula>
    </cfRule>
    <cfRule type="containsText" dxfId="6510" priority="8655" operator="containsText" text="$H$8">
      <formula>NOT(ISERROR(SEARCH($H$8,D258)))</formula>
      <formula>$H$8</formula>
    </cfRule>
    <cfRule type="containsText" dxfId="6509" priority="8654" operator="containsText" text="$H$8">
      <formula>NOT(ISERROR(SEARCH($H$8,D258)))</formula>
      <formula>$H$8</formula>
    </cfRule>
    <cfRule type="containsText" dxfId="6508" priority="8653" operator="containsText" text="$H$9">
      <formula>NOT(ISERROR(SEARCH($H$9,D258)))</formula>
      <formula>$H$9</formula>
    </cfRule>
    <cfRule type="containsText" dxfId="6507" priority="8652" operator="containsText" text="$H$10">
      <formula>NOT(ISERROR(SEARCH($H$10,D258)))</formula>
      <formula>$H$10</formula>
    </cfRule>
    <cfRule type="containsText" dxfId="6506" priority="8651" operator="containsText" text="$H$11">
      <formula>NOT(ISERROR(SEARCH($H$11,D258)))</formula>
      <formula>$H$11</formula>
    </cfRule>
    <cfRule type="containsText" dxfId="6505" priority="8650" operator="containsText" text="$H$12">
      <formula>NOT(ISERROR(SEARCH($H$12,D258)))</formula>
      <formula>$H$12</formula>
    </cfRule>
    <cfRule type="containsText" dxfId="6504" priority="8649" operator="containsText" text="$H$13">
      <formula>NOT(ISERROR(SEARCH($H$13,D258)))</formula>
      <formula>$H$13</formula>
    </cfRule>
  </conditionalFormatting>
  <conditionalFormatting sqref="B266:B273">
    <cfRule type="containsText" dxfId="6503" priority="8608" operator="containsText" text="$H$7">
      <formula>NOT(ISERROR(SEARCH($H$7,B266)))</formula>
      <formula>$H$7</formula>
    </cfRule>
    <cfRule type="containsText" dxfId="6502" priority="8607" operator="containsText" text="$H$8">
      <formula>NOT(ISERROR(SEARCH($H$8,B266)))</formula>
      <formula>$H$8</formula>
    </cfRule>
    <cfRule type="containsText" dxfId="6501" priority="8606" operator="containsText" text="$H$8">
      <formula>NOT(ISERROR(SEARCH($H$8,B266)))</formula>
      <formula>$H$8</formula>
    </cfRule>
    <cfRule type="containsText" dxfId="6500" priority="8605" operator="containsText" text="$H$9">
      <formula>NOT(ISERROR(SEARCH($H$9,B266)))</formula>
      <formula>$H$9</formula>
    </cfRule>
    <cfRule type="containsText" dxfId="6499" priority="8604" operator="containsText" text="$H$10">
      <formula>NOT(ISERROR(SEARCH($H$10,B266)))</formula>
      <formula>$H$10</formula>
    </cfRule>
    <cfRule type="containsText" dxfId="6498" priority="8603" operator="containsText" text="$H$11">
      <formula>NOT(ISERROR(SEARCH($H$11,B266)))</formula>
      <formula>$H$11</formula>
    </cfRule>
    <cfRule type="containsText" dxfId="6497" priority="8602" operator="containsText" text="$H$12">
      <formula>NOT(ISERROR(SEARCH($H$12,B266)))</formula>
      <formula>$H$12</formula>
    </cfRule>
    <cfRule type="containsText" dxfId="6496" priority="8601" operator="containsText" text="$H$13">
      <formula>NOT(ISERROR(SEARCH($H$13,B266)))</formula>
      <formula>$H$13</formula>
    </cfRule>
  </conditionalFormatting>
  <conditionalFormatting sqref="E284:E291">
    <cfRule type="containsText" dxfId="6495" priority="8600" operator="containsText" text="$H$7">
      <formula>NOT(ISERROR(SEARCH($H$7,E284)))</formula>
      <formula>$H$7</formula>
    </cfRule>
    <cfRule type="containsText" dxfId="6494" priority="8599" operator="containsText" text="$H$8">
      <formula>NOT(ISERROR(SEARCH($H$8,E284)))</formula>
      <formula>$H$8</formula>
    </cfRule>
    <cfRule type="containsText" dxfId="6493" priority="8598" operator="containsText" text="$H$8">
      <formula>NOT(ISERROR(SEARCH($H$8,E284)))</formula>
      <formula>$H$8</formula>
    </cfRule>
    <cfRule type="containsText" dxfId="6492" priority="8597" operator="containsText" text="$H$9">
      <formula>NOT(ISERROR(SEARCH($H$9,E284)))</formula>
      <formula>$H$9</formula>
    </cfRule>
    <cfRule type="containsText" dxfId="6491" priority="8596" operator="containsText" text="$H$10">
      <formula>NOT(ISERROR(SEARCH($H$10,E284)))</formula>
      <formula>$H$10</formula>
    </cfRule>
    <cfRule type="containsText" dxfId="6490" priority="8595" operator="containsText" text="$H$11">
      <formula>NOT(ISERROR(SEARCH($H$11,E284)))</formula>
      <formula>$H$11</formula>
    </cfRule>
    <cfRule type="containsText" dxfId="6489" priority="8594" operator="containsText" text="$H$12">
      <formula>NOT(ISERROR(SEARCH($H$12,E284)))</formula>
      <formula>$H$12</formula>
    </cfRule>
    <cfRule type="containsText" dxfId="6488" priority="8593" operator="containsText" text="$H$13">
      <formula>NOT(ISERROR(SEARCH($H$13,E284)))</formula>
      <formula>$H$13</formula>
    </cfRule>
  </conditionalFormatting>
  <conditionalFormatting sqref="D276:D283">
    <cfRule type="containsText" dxfId="6487" priority="8592" operator="containsText" text="$H$7">
      <formula>NOT(ISERROR(SEARCH($H$7,D276)))</formula>
      <formula>$H$7</formula>
    </cfRule>
    <cfRule type="containsText" dxfId="6486" priority="8591" operator="containsText" text="$H$8">
      <formula>NOT(ISERROR(SEARCH($H$8,D276)))</formula>
      <formula>$H$8</formula>
    </cfRule>
    <cfRule type="containsText" dxfId="6485" priority="8590" operator="containsText" text="$H$8">
      <formula>NOT(ISERROR(SEARCH($H$8,D276)))</formula>
      <formula>$H$8</formula>
    </cfRule>
    <cfRule type="containsText" dxfId="6484" priority="8589" operator="containsText" text="$H$9">
      <formula>NOT(ISERROR(SEARCH($H$9,D276)))</formula>
      <formula>$H$9</formula>
    </cfRule>
    <cfRule type="containsText" dxfId="6483" priority="8588" operator="containsText" text="$H$10">
      <formula>NOT(ISERROR(SEARCH($H$10,D276)))</formula>
      <formula>$H$10</formula>
    </cfRule>
    <cfRule type="containsText" dxfId="6482" priority="8587" operator="containsText" text="$H$11">
      <formula>NOT(ISERROR(SEARCH($H$11,D276)))</formula>
      <formula>$H$11</formula>
    </cfRule>
    <cfRule type="containsText" dxfId="6481" priority="8586" operator="containsText" text="$H$12">
      <formula>NOT(ISERROR(SEARCH($H$12,D276)))</formula>
      <formula>$H$12</formula>
    </cfRule>
    <cfRule type="containsText" dxfId="6480" priority="8585" operator="containsText" text="$H$13">
      <formula>NOT(ISERROR(SEARCH($H$13,D276)))</formula>
      <formula>$H$13</formula>
    </cfRule>
  </conditionalFormatting>
  <conditionalFormatting sqref="D284:D291">
    <cfRule type="containsText" dxfId="6479" priority="8584" operator="containsText" text="$H$7">
      <formula>NOT(ISERROR(SEARCH($H$7,D284)))</formula>
      <formula>$H$7</formula>
    </cfRule>
    <cfRule type="containsText" dxfId="6478" priority="8583" operator="containsText" text="$H$8">
      <formula>NOT(ISERROR(SEARCH($H$8,D284)))</formula>
      <formula>$H$8</formula>
    </cfRule>
    <cfRule type="containsText" dxfId="6477" priority="8582" operator="containsText" text="$H$8">
      <formula>NOT(ISERROR(SEARCH($H$8,D284)))</formula>
      <formula>$H$8</formula>
    </cfRule>
    <cfRule type="containsText" dxfId="6476" priority="8581" operator="containsText" text="$H$9">
      <formula>NOT(ISERROR(SEARCH($H$9,D284)))</formula>
      <formula>$H$9</formula>
    </cfRule>
    <cfRule type="containsText" dxfId="6475" priority="8580" operator="containsText" text="$H$10">
      <formula>NOT(ISERROR(SEARCH($H$10,D284)))</formula>
      <formula>$H$10</formula>
    </cfRule>
    <cfRule type="containsText" dxfId="6474" priority="8579" operator="containsText" text="$H$11">
      <formula>NOT(ISERROR(SEARCH($H$11,D284)))</formula>
      <formula>$H$11</formula>
    </cfRule>
    <cfRule type="containsText" dxfId="6473" priority="8578" operator="containsText" text="$H$12">
      <formula>NOT(ISERROR(SEARCH($H$12,D284)))</formula>
      <formula>$H$12</formula>
    </cfRule>
    <cfRule type="containsText" dxfId="6472" priority="8577" operator="containsText" text="$H$13">
      <formula>NOT(ISERROR(SEARCH($H$13,D284)))</formula>
      <formula>$H$13</formula>
    </cfRule>
  </conditionalFormatting>
  <conditionalFormatting sqref="F276:F283">
    <cfRule type="containsText" dxfId="6471" priority="8576" operator="containsText" text="$H$7">
      <formula>NOT(ISERROR(SEARCH($H$7,F276)))</formula>
      <formula>$H$7</formula>
    </cfRule>
    <cfRule type="containsText" dxfId="6470" priority="8575" operator="containsText" text="$H$8">
      <formula>NOT(ISERROR(SEARCH($H$8,F276)))</formula>
      <formula>$H$8</formula>
    </cfRule>
    <cfRule type="containsText" dxfId="6469" priority="8574" operator="containsText" text="$H$8">
      <formula>NOT(ISERROR(SEARCH($H$8,F276)))</formula>
      <formula>$H$8</formula>
    </cfRule>
    <cfRule type="containsText" dxfId="6468" priority="8573" operator="containsText" text="$H$9">
      <formula>NOT(ISERROR(SEARCH($H$9,F276)))</formula>
      <formula>$H$9</formula>
    </cfRule>
    <cfRule type="containsText" dxfId="6467" priority="8572" operator="containsText" text="$H$10">
      <formula>NOT(ISERROR(SEARCH($H$10,F276)))</formula>
      <formula>$H$10</formula>
    </cfRule>
    <cfRule type="containsText" dxfId="6466" priority="8571" operator="containsText" text="$H$11">
      <formula>NOT(ISERROR(SEARCH($H$11,F276)))</formula>
      <formula>$H$11</formula>
    </cfRule>
    <cfRule type="containsText" dxfId="6465" priority="8570" operator="containsText" text="$H$12">
      <formula>NOT(ISERROR(SEARCH($H$12,F276)))</formula>
      <formula>$H$12</formula>
    </cfRule>
    <cfRule type="containsText" dxfId="6464" priority="8569" operator="containsText" text="$H$13">
      <formula>NOT(ISERROR(SEARCH($H$13,F276)))</formula>
      <formula>$H$13</formula>
    </cfRule>
  </conditionalFormatting>
  <conditionalFormatting sqref="F284:F291">
    <cfRule type="containsText" dxfId="6463" priority="8568" operator="containsText" text="$H$7">
      <formula>NOT(ISERROR(SEARCH($H$7,F284)))</formula>
      <formula>$H$7</formula>
    </cfRule>
    <cfRule type="containsText" dxfId="6462" priority="8567" operator="containsText" text="$H$8">
      <formula>NOT(ISERROR(SEARCH($H$8,F284)))</formula>
      <formula>$H$8</formula>
    </cfRule>
    <cfRule type="containsText" dxfId="6461" priority="8566" operator="containsText" text="$H$8">
      <formula>NOT(ISERROR(SEARCH($H$8,F284)))</formula>
      <formula>$H$8</formula>
    </cfRule>
    <cfRule type="containsText" dxfId="6460" priority="8565" operator="containsText" text="$H$9">
      <formula>NOT(ISERROR(SEARCH($H$9,F284)))</formula>
      <formula>$H$9</formula>
    </cfRule>
    <cfRule type="containsText" dxfId="6459" priority="8564" operator="containsText" text="$H$10">
      <formula>NOT(ISERROR(SEARCH($H$10,F284)))</formula>
      <formula>$H$10</formula>
    </cfRule>
    <cfRule type="containsText" dxfId="6458" priority="8563" operator="containsText" text="$H$11">
      <formula>NOT(ISERROR(SEARCH($H$11,F284)))</formula>
      <formula>$H$11</formula>
    </cfRule>
    <cfRule type="containsText" dxfId="6457" priority="8562" operator="containsText" text="$H$12">
      <formula>NOT(ISERROR(SEARCH($H$12,F284)))</formula>
      <formula>$H$12</formula>
    </cfRule>
    <cfRule type="containsText" dxfId="6456" priority="8561" operator="containsText" text="$H$13">
      <formula>NOT(ISERROR(SEARCH($H$13,F284)))</formula>
      <formula>$H$13</formula>
    </cfRule>
  </conditionalFormatting>
  <conditionalFormatting sqref="D266:D273">
    <cfRule type="containsText" dxfId="6455" priority="8560" operator="containsText" text="$H$7">
      <formula>NOT(ISERROR(SEARCH($H$7,D266)))</formula>
      <formula>$H$7</formula>
    </cfRule>
    <cfRule type="containsText" dxfId="6454" priority="8559" operator="containsText" text="$H$8">
      <formula>NOT(ISERROR(SEARCH($H$8,D266)))</formula>
      <formula>$H$8</formula>
    </cfRule>
    <cfRule type="containsText" dxfId="6453" priority="8558" operator="containsText" text="$H$8">
      <formula>NOT(ISERROR(SEARCH($H$8,D266)))</formula>
      <formula>$H$8</formula>
    </cfRule>
    <cfRule type="containsText" dxfId="6452" priority="8557" operator="containsText" text="$H$9">
      <formula>NOT(ISERROR(SEARCH($H$9,D266)))</formula>
      <formula>$H$9</formula>
    </cfRule>
    <cfRule type="containsText" dxfId="6451" priority="8556" operator="containsText" text="$H$10">
      <formula>NOT(ISERROR(SEARCH($H$10,D266)))</formula>
      <formula>$H$10</formula>
    </cfRule>
    <cfRule type="containsText" dxfId="6450" priority="8555" operator="containsText" text="$H$11">
      <formula>NOT(ISERROR(SEARCH($H$11,D266)))</formula>
      <formula>$H$11</formula>
    </cfRule>
    <cfRule type="containsText" dxfId="6449" priority="8554" operator="containsText" text="$H$12">
      <formula>NOT(ISERROR(SEARCH($H$12,D266)))</formula>
      <formula>$H$12</formula>
    </cfRule>
    <cfRule type="containsText" dxfId="6448" priority="8553" operator="containsText" text="$H$13">
      <formula>NOT(ISERROR(SEARCH($H$13,D266)))</formula>
      <formula>$H$13</formula>
    </cfRule>
  </conditionalFormatting>
  <conditionalFormatting sqref="F258:F265">
    <cfRule type="containsText" dxfId="6447" priority="8552" operator="containsText" text="$H$7">
      <formula>NOT(ISERROR(SEARCH($H$7,F258)))</formula>
      <formula>$H$7</formula>
    </cfRule>
    <cfRule type="containsText" dxfId="6446" priority="8551" operator="containsText" text="$H$8">
      <formula>NOT(ISERROR(SEARCH($H$8,F258)))</formula>
      <formula>$H$8</formula>
    </cfRule>
    <cfRule type="containsText" dxfId="6445" priority="8550" operator="containsText" text="$H$8">
      <formula>NOT(ISERROR(SEARCH($H$8,F258)))</formula>
      <formula>$H$8</formula>
    </cfRule>
    <cfRule type="containsText" dxfId="6444" priority="8549" operator="containsText" text="$H$9">
      <formula>NOT(ISERROR(SEARCH($H$9,F258)))</formula>
      <formula>$H$9</formula>
    </cfRule>
    <cfRule type="containsText" dxfId="6443" priority="8548" operator="containsText" text="$H$10">
      <formula>NOT(ISERROR(SEARCH($H$10,F258)))</formula>
      <formula>$H$10</formula>
    </cfRule>
    <cfRule type="containsText" dxfId="6442" priority="8547" operator="containsText" text="$H$11">
      <formula>NOT(ISERROR(SEARCH($H$11,F258)))</formula>
      <formula>$H$11</formula>
    </cfRule>
    <cfRule type="containsText" dxfId="6441" priority="8546" operator="containsText" text="$H$12">
      <formula>NOT(ISERROR(SEARCH($H$12,F258)))</formula>
      <formula>$H$12</formula>
    </cfRule>
    <cfRule type="containsText" dxfId="6440" priority="8545" operator="containsText" text="$H$13">
      <formula>NOT(ISERROR(SEARCH($H$13,F258)))</formula>
      <formula>$H$13</formula>
    </cfRule>
  </conditionalFormatting>
  <conditionalFormatting sqref="B276:B283">
    <cfRule type="containsText" dxfId="6439" priority="8544" operator="containsText" text="$H$7">
      <formula>NOT(ISERROR(SEARCH($H$7,B276)))</formula>
      <formula>$H$7</formula>
    </cfRule>
    <cfRule type="containsText" dxfId="6438" priority="8543" operator="containsText" text="$H$8">
      <formula>NOT(ISERROR(SEARCH($H$8,B276)))</formula>
      <formula>$H$8</formula>
    </cfRule>
    <cfRule type="containsText" dxfId="6437" priority="8542" operator="containsText" text="$H$8">
      <formula>NOT(ISERROR(SEARCH($H$8,B276)))</formula>
      <formula>$H$8</formula>
    </cfRule>
    <cfRule type="containsText" dxfId="6436" priority="8541" operator="containsText" text="$H$9">
      <formula>NOT(ISERROR(SEARCH($H$9,B276)))</formula>
      <formula>$H$9</formula>
    </cfRule>
    <cfRule type="containsText" dxfId="6435" priority="8540" operator="containsText" text="$H$10">
      <formula>NOT(ISERROR(SEARCH($H$10,B276)))</formula>
      <formula>$H$10</formula>
    </cfRule>
    <cfRule type="containsText" dxfId="6434" priority="8539" operator="containsText" text="$H$11">
      <formula>NOT(ISERROR(SEARCH($H$11,B276)))</formula>
      <formula>$H$11</formula>
    </cfRule>
    <cfRule type="containsText" dxfId="6433" priority="8538" operator="containsText" text="$H$12">
      <formula>NOT(ISERROR(SEARCH($H$12,B276)))</formula>
      <formula>$H$12</formula>
    </cfRule>
    <cfRule type="containsText" dxfId="6432" priority="8537" operator="containsText" text="$H$13">
      <formula>NOT(ISERROR(SEARCH($H$13,B276)))</formula>
      <formula>$H$13</formula>
    </cfRule>
  </conditionalFormatting>
  <conditionalFormatting sqref="B284:B291">
    <cfRule type="containsText" dxfId="6431" priority="8536" operator="containsText" text="$H$7">
      <formula>NOT(ISERROR(SEARCH($H$7,B284)))</formula>
      <formula>$H$7</formula>
    </cfRule>
    <cfRule type="containsText" dxfId="6430" priority="8535" operator="containsText" text="$H$8">
      <formula>NOT(ISERROR(SEARCH($H$8,B284)))</formula>
      <formula>$H$8</formula>
    </cfRule>
    <cfRule type="containsText" dxfId="6429" priority="8534" operator="containsText" text="$H$8">
      <formula>NOT(ISERROR(SEARCH($H$8,B284)))</formula>
      <formula>$H$8</formula>
    </cfRule>
    <cfRule type="containsText" dxfId="6428" priority="8533" operator="containsText" text="$H$9">
      <formula>NOT(ISERROR(SEARCH($H$9,B284)))</formula>
      <formula>$H$9</formula>
    </cfRule>
    <cfRule type="containsText" dxfId="6427" priority="8532" operator="containsText" text="$H$10">
      <formula>NOT(ISERROR(SEARCH($H$10,B284)))</formula>
      <formula>$H$10</formula>
    </cfRule>
    <cfRule type="containsText" dxfId="6426" priority="8531" operator="containsText" text="$H$11">
      <formula>NOT(ISERROR(SEARCH($H$11,B284)))</formula>
      <formula>$H$11</formula>
    </cfRule>
    <cfRule type="containsText" dxfId="6425" priority="8530" operator="containsText" text="$H$12">
      <formula>NOT(ISERROR(SEARCH($H$12,B284)))</formula>
      <formula>$H$12</formula>
    </cfRule>
    <cfRule type="containsText" dxfId="6424" priority="8529" operator="containsText" text="$H$13">
      <formula>NOT(ISERROR(SEARCH($H$13,B284)))</formula>
      <formula>$H$13</formula>
    </cfRule>
  </conditionalFormatting>
  <conditionalFormatting sqref="C310">
    <cfRule type="containsText" dxfId="6423" priority="8528" operator="containsText" text="$H$7">
      <formula>NOT(ISERROR(SEARCH($H$7,C310)))</formula>
      <formula>$H$7</formula>
    </cfRule>
    <cfRule type="containsText" dxfId="6422" priority="8527" operator="containsText" text="$H$8">
      <formula>NOT(ISERROR(SEARCH($H$8,C310)))</formula>
      <formula>$H$8</formula>
    </cfRule>
    <cfRule type="containsText" dxfId="6421" priority="8526" operator="containsText" text="$H$8">
      <formula>NOT(ISERROR(SEARCH($H$8,C310)))</formula>
      <formula>$H$8</formula>
    </cfRule>
    <cfRule type="containsText" dxfId="6420" priority="8525" operator="containsText" text="$H$9">
      <formula>NOT(ISERROR(SEARCH($H$9,C310)))</formula>
      <formula>$H$9</formula>
    </cfRule>
    <cfRule type="containsText" dxfId="6419" priority="8524" operator="containsText" text="$H$10">
      <formula>NOT(ISERROR(SEARCH($H$10,C310)))</formula>
      <formula>$H$10</formula>
    </cfRule>
    <cfRule type="containsText" dxfId="6418" priority="8523" operator="containsText" text="$H$11">
      <formula>NOT(ISERROR(SEARCH($H$11,C310)))</formula>
      <formula>$H$11</formula>
    </cfRule>
    <cfRule type="containsText" dxfId="6417" priority="8522" operator="containsText" text="$H$12">
      <formula>NOT(ISERROR(SEARCH($H$12,C310)))</formula>
      <formula>$H$12</formula>
    </cfRule>
    <cfRule type="containsText" dxfId="6416" priority="8521" operator="containsText" text="$H$13">
      <formula>NOT(ISERROR(SEARCH($H$13,C310)))</formula>
      <formula>$H$13</formula>
    </cfRule>
  </conditionalFormatting>
  <conditionalFormatting sqref="F266:F273">
    <cfRule type="containsText" dxfId="6415" priority="8520" operator="containsText" text="$H$7">
      <formula>NOT(ISERROR(SEARCH($H$7,F266)))</formula>
      <formula>$H$7</formula>
    </cfRule>
    <cfRule type="containsText" dxfId="6414" priority="8519" operator="containsText" text="$H$8">
      <formula>NOT(ISERROR(SEARCH($H$8,F266)))</formula>
      <formula>$H$8</formula>
    </cfRule>
    <cfRule type="containsText" dxfId="6413" priority="8518" operator="containsText" text="$H$8">
      <formula>NOT(ISERROR(SEARCH($H$8,F266)))</formula>
      <formula>$H$8</formula>
    </cfRule>
    <cfRule type="containsText" dxfId="6412" priority="8517" operator="containsText" text="$H$9">
      <formula>NOT(ISERROR(SEARCH($H$9,F266)))</formula>
      <formula>$H$9</formula>
    </cfRule>
    <cfRule type="containsText" dxfId="6411" priority="8516" operator="containsText" text="$H$10">
      <formula>NOT(ISERROR(SEARCH($H$10,F266)))</formula>
      <formula>$H$10</formula>
    </cfRule>
    <cfRule type="containsText" dxfId="6410" priority="8515" operator="containsText" text="$H$11">
      <formula>NOT(ISERROR(SEARCH($H$11,F266)))</formula>
      <formula>$H$11</formula>
    </cfRule>
    <cfRule type="containsText" dxfId="6409" priority="8514" operator="containsText" text="$H$12">
      <formula>NOT(ISERROR(SEARCH($H$12,F266)))</formula>
      <formula>$H$12</formula>
    </cfRule>
    <cfRule type="containsText" dxfId="6408" priority="8513" operator="containsText" text="$H$13">
      <formula>NOT(ISERROR(SEARCH($H$13,F266)))</formula>
      <formula>$H$13</formula>
    </cfRule>
  </conditionalFormatting>
  <conditionalFormatting sqref="B294:B301">
    <cfRule type="containsText" dxfId="6407" priority="8512" operator="containsText" text="$H$7">
      <formula>NOT(ISERROR(SEARCH($H$7,B294)))</formula>
      <formula>$H$7</formula>
    </cfRule>
    <cfRule type="containsText" dxfId="6406" priority="8511" operator="containsText" text="$H$8">
      <formula>NOT(ISERROR(SEARCH($H$8,B294)))</formula>
      <formula>$H$8</formula>
    </cfRule>
    <cfRule type="containsText" dxfId="6405" priority="8510" operator="containsText" text="$H$8">
      <formula>NOT(ISERROR(SEARCH($H$8,B294)))</formula>
      <formula>$H$8</formula>
    </cfRule>
    <cfRule type="containsText" dxfId="6404" priority="8509" operator="containsText" text="$H$9">
      <formula>NOT(ISERROR(SEARCH($H$9,B294)))</formula>
      <formula>$H$9</formula>
    </cfRule>
    <cfRule type="containsText" dxfId="6403" priority="8508" operator="containsText" text="$H$10">
      <formula>NOT(ISERROR(SEARCH($H$10,B294)))</formula>
      <formula>$H$10</formula>
    </cfRule>
    <cfRule type="containsText" dxfId="6402" priority="8507" operator="containsText" text="$H$11">
      <formula>NOT(ISERROR(SEARCH($H$11,B294)))</formula>
      <formula>$H$11</formula>
    </cfRule>
    <cfRule type="containsText" dxfId="6401" priority="8506" operator="containsText" text="$H$12">
      <formula>NOT(ISERROR(SEARCH($H$12,B294)))</formula>
      <formula>$H$12</formula>
    </cfRule>
    <cfRule type="containsText" dxfId="6400" priority="8505" operator="containsText" text="$H$13">
      <formula>NOT(ISERROR(SEARCH($H$13,B294)))</formula>
      <formula>$H$13</formula>
    </cfRule>
  </conditionalFormatting>
  <conditionalFormatting sqref="D294:D301">
    <cfRule type="containsText" dxfId="6399" priority="8504" operator="containsText" text="$H$7">
      <formula>NOT(ISERROR(SEARCH($H$7,D294)))</formula>
      <formula>$H$7</formula>
    </cfRule>
    <cfRule type="containsText" dxfId="6398" priority="8503" operator="containsText" text="$H$8">
      <formula>NOT(ISERROR(SEARCH($H$8,D294)))</formula>
      <formula>$H$8</formula>
    </cfRule>
    <cfRule type="containsText" dxfId="6397" priority="8502" operator="containsText" text="$H$8">
      <formula>NOT(ISERROR(SEARCH($H$8,D294)))</formula>
      <formula>$H$8</formula>
    </cfRule>
    <cfRule type="containsText" dxfId="6396" priority="8501" operator="containsText" text="$H$9">
      <formula>NOT(ISERROR(SEARCH($H$9,D294)))</formula>
      <formula>$H$9</formula>
    </cfRule>
    <cfRule type="containsText" dxfId="6395" priority="8500" operator="containsText" text="$H$10">
      <formula>NOT(ISERROR(SEARCH($H$10,D294)))</formula>
      <formula>$H$10</formula>
    </cfRule>
    <cfRule type="containsText" dxfId="6394" priority="8499" operator="containsText" text="$H$11">
      <formula>NOT(ISERROR(SEARCH($H$11,D294)))</formula>
      <formula>$H$11</formula>
    </cfRule>
    <cfRule type="containsText" dxfId="6393" priority="8498" operator="containsText" text="$H$12">
      <formula>NOT(ISERROR(SEARCH($H$12,D294)))</formula>
      <formula>$H$12</formula>
    </cfRule>
    <cfRule type="containsText" dxfId="6392" priority="8497" operator="containsText" text="$H$13">
      <formula>NOT(ISERROR(SEARCH($H$13,D294)))</formula>
      <formula>$H$13</formula>
    </cfRule>
  </conditionalFormatting>
  <conditionalFormatting sqref="C302:C309">
    <cfRule type="containsText" dxfId="6391" priority="8496" operator="containsText" text="$H$7">
      <formula>NOT(ISERROR(SEARCH($H$7,C302)))</formula>
      <formula>$H$7</formula>
    </cfRule>
    <cfRule type="containsText" dxfId="6390" priority="8495" operator="containsText" text="$H$8">
      <formula>NOT(ISERROR(SEARCH($H$8,C302)))</formula>
      <formula>$H$8</formula>
    </cfRule>
    <cfRule type="containsText" dxfId="6389" priority="8494" operator="containsText" text="$H$8">
      <formula>NOT(ISERROR(SEARCH($H$8,C302)))</formula>
      <formula>$H$8</formula>
    </cfRule>
    <cfRule type="containsText" dxfId="6388" priority="8493" operator="containsText" text="$H$9">
      <formula>NOT(ISERROR(SEARCH($H$9,C302)))</formula>
      <formula>$H$9</formula>
    </cfRule>
    <cfRule type="containsText" dxfId="6387" priority="8492" operator="containsText" text="$H$10">
      <formula>NOT(ISERROR(SEARCH($H$10,C302)))</formula>
      <formula>$H$10</formula>
    </cfRule>
    <cfRule type="containsText" dxfId="6386" priority="8491" operator="containsText" text="$H$11">
      <formula>NOT(ISERROR(SEARCH($H$11,C302)))</formula>
      <formula>$H$11</formula>
    </cfRule>
    <cfRule type="containsText" dxfId="6385" priority="8490" operator="containsText" text="$H$12">
      <formula>NOT(ISERROR(SEARCH($H$12,C302)))</formula>
      <formula>$H$12</formula>
    </cfRule>
    <cfRule type="containsText" dxfId="6384" priority="8489" operator="containsText" text="$H$13">
      <formula>NOT(ISERROR(SEARCH($H$13,C302)))</formula>
      <formula>$H$13</formula>
    </cfRule>
  </conditionalFormatting>
  <conditionalFormatting sqref="B302:B309">
    <cfRule type="containsText" dxfId="6383" priority="8488" operator="containsText" text="$H$7">
      <formula>NOT(ISERROR(SEARCH($H$7,B302)))</formula>
      <formula>$H$7</formula>
    </cfRule>
    <cfRule type="containsText" dxfId="6382" priority="8487" operator="containsText" text="$H$8">
      <formula>NOT(ISERROR(SEARCH($H$8,B302)))</formula>
      <formula>$H$8</formula>
    </cfRule>
    <cfRule type="containsText" dxfId="6381" priority="8486" operator="containsText" text="$H$8">
      <formula>NOT(ISERROR(SEARCH($H$8,B302)))</formula>
      <formula>$H$8</formula>
    </cfRule>
    <cfRule type="containsText" dxfId="6380" priority="8485" operator="containsText" text="$H$9">
      <formula>NOT(ISERROR(SEARCH($H$9,B302)))</formula>
      <formula>$H$9</formula>
    </cfRule>
    <cfRule type="containsText" dxfId="6379" priority="8484" operator="containsText" text="$H$10">
      <formula>NOT(ISERROR(SEARCH($H$10,B302)))</formula>
      <formula>$H$10</formula>
    </cfRule>
    <cfRule type="containsText" dxfId="6378" priority="8483" operator="containsText" text="$H$11">
      <formula>NOT(ISERROR(SEARCH($H$11,B302)))</formula>
      <formula>$H$11</formula>
    </cfRule>
    <cfRule type="containsText" dxfId="6377" priority="8482" operator="containsText" text="$H$12">
      <formula>NOT(ISERROR(SEARCH($H$12,B302)))</formula>
      <formula>$H$12</formula>
    </cfRule>
    <cfRule type="containsText" dxfId="6376" priority="8481" operator="containsText" text="$H$13">
      <formula>NOT(ISERROR(SEARCH($H$13,B302)))</formula>
      <formula>$H$13</formula>
    </cfRule>
  </conditionalFormatting>
  <conditionalFormatting sqref="B302:B309">
    <cfRule type="containsText" dxfId="6375" priority="8480" operator="containsText" text="$H$7">
      <formula>NOT(ISERROR(SEARCH($H$7,B302)))</formula>
      <formula>$H$7</formula>
    </cfRule>
    <cfRule type="containsText" dxfId="6374" priority="8479" operator="containsText" text="$H$8">
      <formula>NOT(ISERROR(SEARCH($H$8,B302)))</formula>
      <formula>$H$8</formula>
    </cfRule>
    <cfRule type="containsText" dxfId="6373" priority="8478" operator="containsText" text="$H$8">
      <formula>NOT(ISERROR(SEARCH($H$8,B302)))</formula>
      <formula>$H$8</formula>
    </cfRule>
    <cfRule type="containsText" dxfId="6372" priority="8477" operator="containsText" text="$H$9">
      <formula>NOT(ISERROR(SEARCH($H$9,B302)))</formula>
      <formula>$H$9</formula>
    </cfRule>
    <cfRule type="containsText" dxfId="6371" priority="8476" operator="containsText" text="$H$10">
      <formula>NOT(ISERROR(SEARCH($H$10,B302)))</formula>
      <formula>$H$10</formula>
    </cfRule>
    <cfRule type="containsText" dxfId="6370" priority="8475" operator="containsText" text="$H$11">
      <formula>NOT(ISERROR(SEARCH($H$11,B302)))</formula>
      <formula>$H$11</formula>
    </cfRule>
    <cfRule type="containsText" dxfId="6369" priority="8474" operator="containsText" text="$H$12">
      <formula>NOT(ISERROR(SEARCH($H$12,B302)))</formula>
      <formula>$H$12</formula>
    </cfRule>
    <cfRule type="containsText" dxfId="6368" priority="8473" operator="containsText" text="$H$13">
      <formula>NOT(ISERROR(SEARCH($H$13,B302)))</formula>
      <formula>$H$13</formula>
    </cfRule>
  </conditionalFormatting>
  <conditionalFormatting sqref="C294:C301">
    <cfRule type="containsText" dxfId="6367" priority="8472" operator="containsText" text="$H$7">
      <formula>NOT(ISERROR(SEARCH($H$7,C294)))</formula>
      <formula>$H$7</formula>
    </cfRule>
    <cfRule type="containsText" dxfId="6366" priority="8471" operator="containsText" text="$H$8">
      <formula>NOT(ISERROR(SEARCH($H$8,C294)))</formula>
      <formula>$H$8</formula>
    </cfRule>
    <cfRule type="containsText" dxfId="6365" priority="8470" operator="containsText" text="$H$8">
      <formula>NOT(ISERROR(SEARCH($H$8,C294)))</formula>
      <formula>$H$8</formula>
    </cfRule>
    <cfRule type="containsText" dxfId="6364" priority="8469" operator="containsText" text="$H$9">
      <formula>NOT(ISERROR(SEARCH($H$9,C294)))</formula>
      <formula>$H$9</formula>
    </cfRule>
    <cfRule type="containsText" dxfId="6363" priority="8468" operator="containsText" text="$H$10">
      <formula>NOT(ISERROR(SEARCH($H$10,C294)))</formula>
      <formula>$H$10</formula>
    </cfRule>
    <cfRule type="containsText" dxfId="6362" priority="8467" operator="containsText" text="$H$11">
      <formula>NOT(ISERROR(SEARCH($H$11,C294)))</formula>
      <formula>$H$11</formula>
    </cfRule>
    <cfRule type="containsText" dxfId="6361" priority="8466" operator="containsText" text="$H$12">
      <formula>NOT(ISERROR(SEARCH($H$12,C294)))</formula>
      <formula>$H$12</formula>
    </cfRule>
    <cfRule type="containsText" dxfId="6360" priority="8465" operator="containsText" text="$H$13">
      <formula>NOT(ISERROR(SEARCH($H$13,C294)))</formula>
      <formula>$H$13</formula>
    </cfRule>
  </conditionalFormatting>
  <conditionalFormatting sqref="C294:C301">
    <cfRule type="containsText" dxfId="6359" priority="8464" operator="containsText" text="$H$7">
      <formula>NOT(ISERROR(SEARCH($H$7,C294)))</formula>
      <formula>$H$7</formula>
    </cfRule>
    <cfRule type="containsText" dxfId="6358" priority="8463" operator="containsText" text="$H$8">
      <formula>NOT(ISERROR(SEARCH($H$8,C294)))</formula>
      <formula>$H$8</formula>
    </cfRule>
    <cfRule type="containsText" dxfId="6357" priority="8462" operator="containsText" text="$H$8">
      <formula>NOT(ISERROR(SEARCH($H$8,C294)))</formula>
      <formula>$H$8</formula>
    </cfRule>
    <cfRule type="containsText" dxfId="6356" priority="8461" operator="containsText" text="$H$9">
      <formula>NOT(ISERROR(SEARCH($H$9,C294)))</formula>
      <formula>$H$9</formula>
    </cfRule>
    <cfRule type="containsText" dxfId="6355" priority="8460" operator="containsText" text="$H$10">
      <formula>NOT(ISERROR(SEARCH($H$10,C294)))</formula>
      <formula>$H$10</formula>
    </cfRule>
    <cfRule type="containsText" dxfId="6354" priority="8459" operator="containsText" text="$H$11">
      <formula>NOT(ISERROR(SEARCH($H$11,C294)))</formula>
      <formula>$H$11</formula>
    </cfRule>
    <cfRule type="containsText" dxfId="6353" priority="8458" operator="containsText" text="$H$12">
      <formula>NOT(ISERROR(SEARCH($H$12,C294)))</formula>
      <formula>$H$12</formula>
    </cfRule>
    <cfRule type="containsText" dxfId="6352" priority="8457" operator="containsText" text="$H$13">
      <formula>NOT(ISERROR(SEARCH($H$13,C294)))</formula>
      <formula>$H$13</formula>
    </cfRule>
  </conditionalFormatting>
  <conditionalFormatting sqref="D302:D309">
    <cfRule type="containsText" dxfId="6351" priority="8456" operator="containsText" text="$H$7">
      <formula>NOT(ISERROR(SEARCH($H$7,D302)))</formula>
      <formula>$H$7</formula>
    </cfRule>
    <cfRule type="containsText" dxfId="6350" priority="8455" operator="containsText" text="$H$8">
      <formula>NOT(ISERROR(SEARCH($H$8,D302)))</formula>
      <formula>$H$8</formula>
    </cfRule>
    <cfRule type="containsText" dxfId="6349" priority="8454" operator="containsText" text="$H$8">
      <formula>NOT(ISERROR(SEARCH($H$8,D302)))</formula>
      <formula>$H$8</formula>
    </cfRule>
    <cfRule type="containsText" dxfId="6348" priority="8453" operator="containsText" text="$H$9">
      <formula>NOT(ISERROR(SEARCH($H$9,D302)))</formula>
      <formula>$H$9</formula>
    </cfRule>
    <cfRule type="containsText" dxfId="6347" priority="8452" operator="containsText" text="$H$10">
      <formula>NOT(ISERROR(SEARCH($H$10,D302)))</formula>
      <formula>$H$10</formula>
    </cfRule>
    <cfRule type="containsText" dxfId="6346" priority="8451" operator="containsText" text="$H$11">
      <formula>NOT(ISERROR(SEARCH($H$11,D302)))</formula>
      <formula>$H$11</formula>
    </cfRule>
    <cfRule type="containsText" dxfId="6345" priority="8450" operator="containsText" text="$H$12">
      <formula>NOT(ISERROR(SEARCH($H$12,D302)))</formula>
      <formula>$H$12</formula>
    </cfRule>
    <cfRule type="containsText" dxfId="6344" priority="8449" operator="containsText" text="$H$13">
      <formula>NOT(ISERROR(SEARCH($H$13,D302)))</formula>
      <formula>$H$13</formula>
    </cfRule>
  </conditionalFormatting>
  <conditionalFormatting sqref="D302:D309">
    <cfRule type="containsText" dxfId="6343" priority="8448" operator="containsText" text="$H$7">
      <formula>NOT(ISERROR(SEARCH($H$7,D302)))</formula>
      <formula>$H$7</formula>
    </cfRule>
    <cfRule type="containsText" dxfId="6342" priority="8447" operator="containsText" text="$H$8">
      <formula>NOT(ISERROR(SEARCH($H$8,D302)))</formula>
      <formula>$H$8</formula>
    </cfRule>
    <cfRule type="containsText" dxfId="6341" priority="8446" operator="containsText" text="$H$8">
      <formula>NOT(ISERROR(SEARCH($H$8,D302)))</formula>
      <formula>$H$8</formula>
    </cfRule>
    <cfRule type="containsText" dxfId="6340" priority="8445" operator="containsText" text="$H$9">
      <formula>NOT(ISERROR(SEARCH($H$9,D302)))</formula>
      <formula>$H$9</formula>
    </cfRule>
    <cfRule type="containsText" dxfId="6339" priority="8444" operator="containsText" text="$H$10">
      <formula>NOT(ISERROR(SEARCH($H$10,D302)))</formula>
      <formula>$H$10</formula>
    </cfRule>
    <cfRule type="containsText" dxfId="6338" priority="8443" operator="containsText" text="$H$11">
      <formula>NOT(ISERROR(SEARCH($H$11,D302)))</formula>
      <formula>$H$11</formula>
    </cfRule>
    <cfRule type="containsText" dxfId="6337" priority="8442" operator="containsText" text="$H$12">
      <formula>NOT(ISERROR(SEARCH($H$12,D302)))</formula>
      <formula>$H$12</formula>
    </cfRule>
    <cfRule type="containsText" dxfId="6336" priority="8441" operator="containsText" text="$H$13">
      <formula>NOT(ISERROR(SEARCH($H$13,D302)))</formula>
      <formula>$H$13</formula>
    </cfRule>
  </conditionalFormatting>
  <conditionalFormatting sqref="F294:F295">
    <cfRule type="containsText" dxfId="6335" priority="8440" operator="containsText" text="$H$7">
      <formula>NOT(ISERROR(SEARCH($H$7,F294)))</formula>
      <formula>$H$7</formula>
    </cfRule>
    <cfRule type="containsText" dxfId="6334" priority="8439" operator="containsText" text="$H$8">
      <formula>NOT(ISERROR(SEARCH($H$8,F294)))</formula>
      <formula>$H$8</formula>
    </cfRule>
    <cfRule type="containsText" dxfId="6333" priority="8438" operator="containsText" text="$H$8">
      <formula>NOT(ISERROR(SEARCH($H$8,F294)))</formula>
      <formula>$H$8</formula>
    </cfRule>
    <cfRule type="containsText" dxfId="6332" priority="8437" operator="containsText" text="$H$9">
      <formula>NOT(ISERROR(SEARCH($H$9,F294)))</formula>
      <formula>$H$9</formula>
    </cfRule>
    <cfRule type="containsText" dxfId="6331" priority="8436" operator="containsText" text="$H$10">
      <formula>NOT(ISERROR(SEARCH($H$10,F294)))</formula>
      <formula>$H$10</formula>
    </cfRule>
    <cfRule type="containsText" dxfId="6330" priority="8435" operator="containsText" text="$H$11">
      <formula>NOT(ISERROR(SEARCH($H$11,F294)))</formula>
      <formula>$H$11</formula>
    </cfRule>
    <cfRule type="containsText" dxfId="6329" priority="8434" operator="containsText" text="$H$12">
      <formula>NOT(ISERROR(SEARCH($H$12,F294)))</formula>
      <formula>$H$12</formula>
    </cfRule>
    <cfRule type="containsText" dxfId="6328" priority="8433" operator="containsText" text="$H$13">
      <formula>NOT(ISERROR(SEARCH($H$13,F294)))</formula>
      <formula>$H$13</formula>
    </cfRule>
  </conditionalFormatting>
  <conditionalFormatting sqref="F296:F297">
    <cfRule type="containsText" dxfId="6327" priority="8424" operator="containsText" text="$H$7">
      <formula>NOT(ISERROR(SEARCH($H$7,F296)))</formula>
      <formula>$H$7</formula>
    </cfRule>
    <cfRule type="containsText" dxfId="6326" priority="8423" operator="containsText" text="$H$8">
      <formula>NOT(ISERROR(SEARCH($H$8,F296)))</formula>
      <formula>$H$8</formula>
    </cfRule>
    <cfRule type="containsText" dxfId="6325" priority="8422" operator="containsText" text="$H$8">
      <formula>NOT(ISERROR(SEARCH($H$8,F296)))</formula>
      <formula>$H$8</formula>
    </cfRule>
    <cfRule type="containsText" dxfId="6324" priority="8421" operator="containsText" text="$H$9">
      <formula>NOT(ISERROR(SEARCH($H$9,F296)))</formula>
      <formula>$H$9</formula>
    </cfRule>
    <cfRule type="containsText" dxfId="6323" priority="8420" operator="containsText" text="$H$10">
      <formula>NOT(ISERROR(SEARCH($H$10,F296)))</formula>
      <formula>$H$10</formula>
    </cfRule>
    <cfRule type="containsText" dxfId="6322" priority="8419" operator="containsText" text="$H$11">
      <formula>NOT(ISERROR(SEARCH($H$11,F296)))</formula>
      <formula>$H$11</formula>
    </cfRule>
    <cfRule type="containsText" dxfId="6321" priority="8418" operator="containsText" text="$H$12">
      <formula>NOT(ISERROR(SEARCH($H$12,F296)))</formula>
      <formula>$H$12</formula>
    </cfRule>
    <cfRule type="containsText" dxfId="6320" priority="8417" operator="containsText" text="$H$13">
      <formula>NOT(ISERROR(SEARCH($H$13,F296)))</formula>
      <formula>$H$13</formula>
    </cfRule>
  </conditionalFormatting>
  <conditionalFormatting sqref="F296:F297">
    <cfRule type="containsText" dxfId="6319" priority="8432" operator="containsText" text="$H$7">
      <formula>NOT(ISERROR(SEARCH($H$7,F296)))</formula>
      <formula>$H$7</formula>
    </cfRule>
    <cfRule type="containsText" dxfId="6318" priority="8431" operator="containsText" text="$H$8">
      <formula>NOT(ISERROR(SEARCH($H$8,F296)))</formula>
      <formula>$H$8</formula>
    </cfRule>
    <cfRule type="containsText" dxfId="6317" priority="8430" operator="containsText" text="$H$8">
      <formula>NOT(ISERROR(SEARCH($H$8,F296)))</formula>
      <formula>$H$8</formula>
    </cfRule>
    <cfRule type="containsText" dxfId="6316" priority="8429" operator="containsText" text="$H$9">
      <formula>NOT(ISERROR(SEARCH($H$9,F296)))</formula>
      <formula>$H$9</formula>
    </cfRule>
    <cfRule type="containsText" dxfId="6315" priority="8428" operator="containsText" text="$H$10">
      <formula>NOT(ISERROR(SEARCH($H$10,F296)))</formula>
      <formula>$H$10</formula>
    </cfRule>
    <cfRule type="containsText" dxfId="6314" priority="8427" operator="containsText" text="$H$11">
      <formula>NOT(ISERROR(SEARCH($H$11,F296)))</formula>
      <formula>$H$11</formula>
    </cfRule>
    <cfRule type="containsText" dxfId="6313" priority="8426" operator="containsText" text="$H$12">
      <formula>NOT(ISERROR(SEARCH($H$12,F296)))</formula>
      <formula>$H$12</formula>
    </cfRule>
    <cfRule type="containsText" dxfId="6312" priority="8425" operator="containsText" text="$H$13">
      <formula>NOT(ISERROR(SEARCH($H$13,F296)))</formula>
      <formula>$H$13</formula>
    </cfRule>
  </conditionalFormatting>
  <conditionalFormatting sqref="F298:F299">
    <cfRule type="containsText" dxfId="6311" priority="8408" operator="containsText" text="$H$7">
      <formula>NOT(ISERROR(SEARCH($H$7,F298)))</formula>
      <formula>$H$7</formula>
    </cfRule>
    <cfRule type="containsText" dxfId="6310" priority="8407" operator="containsText" text="$H$8">
      <formula>NOT(ISERROR(SEARCH($H$8,F298)))</formula>
      <formula>$H$8</formula>
    </cfRule>
    <cfRule type="containsText" dxfId="6309" priority="8406" operator="containsText" text="$H$8">
      <formula>NOT(ISERROR(SEARCH($H$8,F298)))</formula>
      <formula>$H$8</formula>
    </cfRule>
    <cfRule type="containsText" dxfId="6308" priority="8405" operator="containsText" text="$H$9">
      <formula>NOT(ISERROR(SEARCH($H$9,F298)))</formula>
      <formula>$H$9</formula>
    </cfRule>
    <cfRule type="containsText" dxfId="6307" priority="8404" operator="containsText" text="$H$10">
      <formula>NOT(ISERROR(SEARCH($H$10,F298)))</formula>
      <formula>$H$10</formula>
    </cfRule>
    <cfRule type="containsText" dxfId="6306" priority="8403" operator="containsText" text="$H$11">
      <formula>NOT(ISERROR(SEARCH($H$11,F298)))</formula>
      <formula>$H$11</formula>
    </cfRule>
    <cfRule type="containsText" dxfId="6305" priority="8402" operator="containsText" text="$H$12">
      <formula>NOT(ISERROR(SEARCH($H$12,F298)))</formula>
      <formula>$H$12</formula>
    </cfRule>
    <cfRule type="containsText" dxfId="6304" priority="8401" operator="containsText" text="$H$13">
      <formula>NOT(ISERROR(SEARCH($H$13,F298)))</formula>
      <formula>$H$13</formula>
    </cfRule>
  </conditionalFormatting>
  <conditionalFormatting sqref="F298:F299">
    <cfRule type="containsText" dxfId="6303" priority="8416" operator="containsText" text="$H$7">
      <formula>NOT(ISERROR(SEARCH($H$7,F298)))</formula>
      <formula>$H$7</formula>
    </cfRule>
    <cfRule type="containsText" dxfId="6302" priority="8415" operator="containsText" text="$H$8">
      <formula>NOT(ISERROR(SEARCH($H$8,F298)))</formula>
      <formula>$H$8</formula>
    </cfRule>
    <cfRule type="containsText" dxfId="6301" priority="8414" operator="containsText" text="$H$8">
      <formula>NOT(ISERROR(SEARCH($H$8,F298)))</formula>
      <formula>$H$8</formula>
    </cfRule>
    <cfRule type="containsText" dxfId="6300" priority="8413" operator="containsText" text="$H$9">
      <formula>NOT(ISERROR(SEARCH($H$9,F298)))</formula>
      <formula>$H$9</formula>
    </cfRule>
    <cfRule type="containsText" dxfId="6299" priority="8412" operator="containsText" text="$H$10">
      <formula>NOT(ISERROR(SEARCH($H$10,F298)))</formula>
      <formula>$H$10</formula>
    </cfRule>
    <cfRule type="containsText" dxfId="6298" priority="8411" operator="containsText" text="$H$11">
      <formula>NOT(ISERROR(SEARCH($H$11,F298)))</formula>
      <formula>$H$11</formula>
    </cfRule>
    <cfRule type="containsText" dxfId="6297" priority="8410" operator="containsText" text="$H$12">
      <formula>NOT(ISERROR(SEARCH($H$12,F298)))</formula>
      <formula>$H$12</formula>
    </cfRule>
    <cfRule type="containsText" dxfId="6296" priority="8409" operator="containsText" text="$H$13">
      <formula>NOT(ISERROR(SEARCH($H$13,F298)))</formula>
      <formula>$H$13</formula>
    </cfRule>
  </conditionalFormatting>
  <conditionalFormatting sqref="F300">
    <cfRule type="containsText" dxfId="6295" priority="8400" operator="containsText" text="$H$7">
      <formula>NOT(ISERROR(SEARCH($H$7,F300)))</formula>
      <formula>$H$7</formula>
    </cfRule>
    <cfRule type="containsText" dxfId="6294" priority="8399" operator="containsText" text="$H$8">
      <formula>NOT(ISERROR(SEARCH($H$8,F300)))</formula>
      <formula>$H$8</formula>
    </cfRule>
    <cfRule type="containsText" dxfId="6293" priority="8398" operator="containsText" text="$H$8">
      <formula>NOT(ISERROR(SEARCH($H$8,F300)))</formula>
      <formula>$H$8</formula>
    </cfRule>
    <cfRule type="containsText" dxfId="6292" priority="8397" operator="containsText" text="$H$9">
      <formula>NOT(ISERROR(SEARCH($H$9,F300)))</formula>
      <formula>$H$9</formula>
    </cfRule>
    <cfRule type="containsText" dxfId="6291" priority="8396" operator="containsText" text="$H$10">
      <formula>NOT(ISERROR(SEARCH($H$10,F300)))</formula>
      <formula>$H$10</formula>
    </cfRule>
    <cfRule type="containsText" dxfId="6290" priority="8395" operator="containsText" text="$H$11">
      <formula>NOT(ISERROR(SEARCH($H$11,F300)))</formula>
      <formula>$H$11</formula>
    </cfRule>
    <cfRule type="containsText" dxfId="6289" priority="8394" operator="containsText" text="$H$12">
      <formula>NOT(ISERROR(SEARCH($H$12,F300)))</formula>
      <formula>$H$12</formula>
    </cfRule>
    <cfRule type="containsText" dxfId="6288" priority="8393" operator="containsText" text="$H$13">
      <formula>NOT(ISERROR(SEARCH($H$13,F300)))</formula>
      <formula>$H$13</formula>
    </cfRule>
  </conditionalFormatting>
  <conditionalFormatting sqref="F300">
    <cfRule type="containsText" dxfId="6287" priority="8392" operator="containsText" text="$H$7">
      <formula>NOT(ISERROR(SEARCH($H$7,F300)))</formula>
      <formula>$H$7</formula>
    </cfRule>
    <cfRule type="containsText" dxfId="6286" priority="8391" operator="containsText" text="$H$8">
      <formula>NOT(ISERROR(SEARCH($H$8,F300)))</formula>
      <formula>$H$8</formula>
    </cfRule>
    <cfRule type="containsText" dxfId="6285" priority="8390" operator="containsText" text="$H$8">
      <formula>NOT(ISERROR(SEARCH($H$8,F300)))</formula>
      <formula>$H$8</formula>
    </cfRule>
    <cfRule type="containsText" dxfId="6284" priority="8389" operator="containsText" text="$H$9">
      <formula>NOT(ISERROR(SEARCH($H$9,F300)))</formula>
      <formula>$H$9</formula>
    </cfRule>
    <cfRule type="containsText" dxfId="6283" priority="8388" operator="containsText" text="$H$10">
      <formula>NOT(ISERROR(SEARCH($H$10,F300)))</formula>
      <formula>$H$10</formula>
    </cfRule>
    <cfRule type="containsText" dxfId="6282" priority="8387" operator="containsText" text="$H$11">
      <formula>NOT(ISERROR(SEARCH($H$11,F300)))</formula>
      <formula>$H$11</formula>
    </cfRule>
    <cfRule type="containsText" dxfId="6281" priority="8386" operator="containsText" text="$H$12">
      <formula>NOT(ISERROR(SEARCH($H$12,F300)))</formula>
      <formula>$H$12</formula>
    </cfRule>
    <cfRule type="containsText" dxfId="6280" priority="8385" operator="containsText" text="$H$13">
      <formula>NOT(ISERROR(SEARCH($H$13,F300)))</formula>
      <formula>$H$13</formula>
    </cfRule>
  </conditionalFormatting>
  <conditionalFormatting sqref="F302:F309">
    <cfRule type="containsText" dxfId="6279" priority="8384" operator="containsText" text="$H$7">
      <formula>NOT(ISERROR(SEARCH($H$7,F302)))</formula>
      <formula>$H$7</formula>
    </cfRule>
    <cfRule type="containsText" dxfId="6278" priority="8383" operator="containsText" text="$H$8">
      <formula>NOT(ISERROR(SEARCH($H$8,F302)))</formula>
      <formula>$H$8</formula>
    </cfRule>
    <cfRule type="containsText" dxfId="6277" priority="8382" operator="containsText" text="$H$8">
      <formula>NOT(ISERROR(SEARCH($H$8,F302)))</formula>
      <formula>$H$8</formula>
    </cfRule>
    <cfRule type="containsText" dxfId="6276" priority="8381" operator="containsText" text="$H$9">
      <formula>NOT(ISERROR(SEARCH($H$9,F302)))</formula>
      <formula>$H$9</formula>
    </cfRule>
    <cfRule type="containsText" dxfId="6275" priority="8380" operator="containsText" text="$H$10">
      <formula>NOT(ISERROR(SEARCH($H$10,F302)))</formula>
      <formula>$H$10</formula>
    </cfRule>
    <cfRule type="containsText" dxfId="6274" priority="8379" operator="containsText" text="$H$11">
      <formula>NOT(ISERROR(SEARCH($H$11,F302)))</formula>
      <formula>$H$11</formula>
    </cfRule>
    <cfRule type="containsText" dxfId="6273" priority="8378" operator="containsText" text="$H$12">
      <formula>NOT(ISERROR(SEARCH($H$12,F302)))</formula>
      <formula>$H$12</formula>
    </cfRule>
    <cfRule type="containsText" dxfId="6272" priority="8377" operator="containsText" text="$H$13">
      <formula>NOT(ISERROR(SEARCH($H$13,F302)))</formula>
      <formula>$H$13</formula>
    </cfRule>
  </conditionalFormatting>
  <conditionalFormatting sqref="F302:F309">
    <cfRule type="containsText" dxfId="6271" priority="8376" operator="containsText" text="$H$7">
      <formula>NOT(ISERROR(SEARCH($H$7,F302)))</formula>
      <formula>$H$7</formula>
    </cfRule>
    <cfRule type="containsText" dxfId="6270" priority="8375" operator="containsText" text="$H$8">
      <formula>NOT(ISERROR(SEARCH($H$8,F302)))</formula>
      <formula>$H$8</formula>
    </cfRule>
    <cfRule type="containsText" dxfId="6269" priority="8374" operator="containsText" text="$H$8">
      <formula>NOT(ISERROR(SEARCH($H$8,F302)))</formula>
      <formula>$H$8</formula>
    </cfRule>
    <cfRule type="containsText" dxfId="6268" priority="8373" operator="containsText" text="$H$9">
      <formula>NOT(ISERROR(SEARCH($H$9,F302)))</formula>
      <formula>$H$9</formula>
    </cfRule>
    <cfRule type="containsText" dxfId="6267" priority="8372" operator="containsText" text="$H$10">
      <formula>NOT(ISERROR(SEARCH($H$10,F302)))</formula>
      <formula>$H$10</formula>
    </cfRule>
    <cfRule type="containsText" dxfId="6266" priority="8371" operator="containsText" text="$H$11">
      <formula>NOT(ISERROR(SEARCH($H$11,F302)))</formula>
      <formula>$H$11</formula>
    </cfRule>
    <cfRule type="containsText" dxfId="6265" priority="8370" operator="containsText" text="$H$12">
      <formula>NOT(ISERROR(SEARCH($H$12,F302)))</formula>
      <formula>$H$12</formula>
    </cfRule>
    <cfRule type="containsText" dxfId="6264" priority="8369" operator="containsText" text="$H$13">
      <formula>NOT(ISERROR(SEARCH($H$13,F302)))</formula>
      <formula>$H$13</formula>
    </cfRule>
  </conditionalFormatting>
  <conditionalFormatting sqref="B312:B319">
    <cfRule type="containsText" dxfId="6263" priority="8368" operator="containsText" text="$H$7">
      <formula>NOT(ISERROR(SEARCH($H$7,B312)))</formula>
      <formula>$H$7</formula>
    </cfRule>
    <cfRule type="containsText" dxfId="6262" priority="8367" operator="containsText" text="$H$8">
      <formula>NOT(ISERROR(SEARCH($H$8,B312)))</formula>
      <formula>$H$8</formula>
    </cfRule>
    <cfRule type="containsText" dxfId="6261" priority="8366" operator="containsText" text="$H$8">
      <formula>NOT(ISERROR(SEARCH($H$8,B312)))</formula>
      <formula>$H$8</formula>
    </cfRule>
    <cfRule type="containsText" dxfId="6260" priority="8365" operator="containsText" text="$H$9">
      <formula>NOT(ISERROR(SEARCH($H$9,B312)))</formula>
      <formula>$H$9</formula>
    </cfRule>
    <cfRule type="containsText" dxfId="6259" priority="8364" operator="containsText" text="$H$10">
      <formula>NOT(ISERROR(SEARCH($H$10,B312)))</formula>
      <formula>$H$10</formula>
    </cfRule>
    <cfRule type="containsText" dxfId="6258" priority="8363" operator="containsText" text="$H$11">
      <formula>NOT(ISERROR(SEARCH($H$11,B312)))</formula>
      <formula>$H$11</formula>
    </cfRule>
    <cfRule type="containsText" dxfId="6257" priority="8362" operator="containsText" text="$H$12">
      <formula>NOT(ISERROR(SEARCH($H$12,B312)))</formula>
      <formula>$H$12</formula>
    </cfRule>
    <cfRule type="containsText" dxfId="6256" priority="8361" operator="containsText" text="$H$13">
      <formula>NOT(ISERROR(SEARCH($H$13,B312)))</formula>
      <formula>$H$13</formula>
    </cfRule>
  </conditionalFormatting>
  <conditionalFormatting sqref="B312:B319">
    <cfRule type="containsText" dxfId="6255" priority="8360" operator="containsText" text="$H$7">
      <formula>NOT(ISERROR(SEARCH($H$7,B312)))</formula>
      <formula>$H$7</formula>
    </cfRule>
    <cfRule type="containsText" dxfId="6254" priority="8359" operator="containsText" text="$H$8">
      <formula>NOT(ISERROR(SEARCH($H$8,B312)))</formula>
      <formula>$H$8</formula>
    </cfRule>
    <cfRule type="containsText" dxfId="6253" priority="8358" operator="containsText" text="$H$8">
      <formula>NOT(ISERROR(SEARCH($H$8,B312)))</formula>
      <formula>$H$8</formula>
    </cfRule>
    <cfRule type="containsText" dxfId="6252" priority="8357" operator="containsText" text="$H$9">
      <formula>NOT(ISERROR(SEARCH($H$9,B312)))</formula>
      <formula>$H$9</formula>
    </cfRule>
    <cfRule type="containsText" dxfId="6251" priority="8356" operator="containsText" text="$H$10">
      <formula>NOT(ISERROR(SEARCH($H$10,B312)))</formula>
      <formula>$H$10</formula>
    </cfRule>
    <cfRule type="containsText" dxfId="6250" priority="8355" operator="containsText" text="$H$11">
      <formula>NOT(ISERROR(SEARCH($H$11,B312)))</formula>
      <formula>$H$11</formula>
    </cfRule>
    <cfRule type="containsText" dxfId="6249" priority="8354" operator="containsText" text="$H$12">
      <formula>NOT(ISERROR(SEARCH($H$12,B312)))</formula>
      <formula>$H$12</formula>
    </cfRule>
    <cfRule type="containsText" dxfId="6248" priority="8353" operator="containsText" text="$H$13">
      <formula>NOT(ISERROR(SEARCH($H$13,B312)))</formula>
      <formula>$H$13</formula>
    </cfRule>
  </conditionalFormatting>
  <conditionalFormatting sqref="E302:E309">
    <cfRule type="containsText" dxfId="6247" priority="8352" operator="containsText" text="$H$7">
      <formula>NOT(ISERROR(SEARCH($H$7,E302)))</formula>
      <formula>$H$7</formula>
    </cfRule>
    <cfRule type="containsText" dxfId="6246" priority="8351" operator="containsText" text="$H$8">
      <formula>NOT(ISERROR(SEARCH($H$8,E302)))</formula>
      <formula>$H$8</formula>
    </cfRule>
    <cfRule type="containsText" dxfId="6245" priority="8350" operator="containsText" text="$H$8">
      <formula>NOT(ISERROR(SEARCH($H$8,E302)))</formula>
      <formula>$H$8</formula>
    </cfRule>
    <cfRule type="containsText" dxfId="6244" priority="8349" operator="containsText" text="$H$9">
      <formula>NOT(ISERROR(SEARCH($H$9,E302)))</formula>
      <formula>$H$9</formula>
    </cfRule>
    <cfRule type="containsText" dxfId="6243" priority="8348" operator="containsText" text="$H$10">
      <formula>NOT(ISERROR(SEARCH($H$10,E302)))</formula>
      <formula>$H$10</formula>
    </cfRule>
    <cfRule type="containsText" dxfId="6242" priority="8347" operator="containsText" text="$H$11">
      <formula>NOT(ISERROR(SEARCH($H$11,E302)))</formula>
      <formula>$H$11</formula>
    </cfRule>
    <cfRule type="containsText" dxfId="6241" priority="8346" operator="containsText" text="$H$12">
      <formula>NOT(ISERROR(SEARCH($H$12,E302)))</formula>
      <formula>$H$12</formula>
    </cfRule>
    <cfRule type="containsText" dxfId="6240" priority="8345" operator="containsText" text="$H$13">
      <formula>NOT(ISERROR(SEARCH($H$13,E302)))</formula>
      <formula>$H$13</formula>
    </cfRule>
  </conditionalFormatting>
  <conditionalFormatting sqref="E294:E301">
    <cfRule type="containsText" dxfId="6239" priority="8344" operator="containsText" text="$H$7">
      <formula>NOT(ISERROR(SEARCH($H$7,E294)))</formula>
      <formula>$H$7</formula>
    </cfRule>
    <cfRule type="containsText" dxfId="6238" priority="8343" operator="containsText" text="$H$8">
      <formula>NOT(ISERROR(SEARCH($H$8,E294)))</formula>
      <formula>$H$8</formula>
    </cfRule>
    <cfRule type="containsText" dxfId="6237" priority="8342" operator="containsText" text="$H$8">
      <formula>NOT(ISERROR(SEARCH($H$8,E294)))</formula>
      <formula>$H$8</formula>
    </cfRule>
    <cfRule type="containsText" dxfId="6236" priority="8341" operator="containsText" text="$H$9">
      <formula>NOT(ISERROR(SEARCH($H$9,E294)))</formula>
      <formula>$H$9</formula>
    </cfRule>
    <cfRule type="containsText" dxfId="6235" priority="8340" operator="containsText" text="$H$10">
      <formula>NOT(ISERROR(SEARCH($H$10,E294)))</formula>
      <formula>$H$10</formula>
    </cfRule>
    <cfRule type="containsText" dxfId="6234" priority="8339" operator="containsText" text="$H$11">
      <formula>NOT(ISERROR(SEARCH($H$11,E294)))</formula>
      <formula>$H$11</formula>
    </cfRule>
    <cfRule type="containsText" dxfId="6233" priority="8338" operator="containsText" text="$H$12">
      <formula>NOT(ISERROR(SEARCH($H$12,E294)))</formula>
      <formula>$H$12</formula>
    </cfRule>
    <cfRule type="containsText" dxfId="6232" priority="8337" operator="containsText" text="$H$13">
      <formula>NOT(ISERROR(SEARCH($H$13,E294)))</formula>
      <formula>$H$13</formula>
    </cfRule>
  </conditionalFormatting>
  <conditionalFormatting sqref="E294:E301">
    <cfRule type="containsText" dxfId="6231" priority="8336" operator="containsText" text="$H$7">
      <formula>NOT(ISERROR(SEARCH($H$7,E294)))</formula>
      <formula>$H$7</formula>
    </cfRule>
    <cfRule type="containsText" dxfId="6230" priority="8335" operator="containsText" text="$H$8">
      <formula>NOT(ISERROR(SEARCH($H$8,E294)))</formula>
      <formula>$H$8</formula>
    </cfRule>
    <cfRule type="containsText" dxfId="6229" priority="8334" operator="containsText" text="$H$8">
      <formula>NOT(ISERROR(SEARCH($H$8,E294)))</formula>
      <formula>$H$8</formula>
    </cfRule>
    <cfRule type="containsText" dxfId="6228" priority="8333" operator="containsText" text="$H$9">
      <formula>NOT(ISERROR(SEARCH($H$9,E294)))</formula>
      <formula>$H$9</formula>
    </cfRule>
    <cfRule type="containsText" dxfId="6227" priority="8332" operator="containsText" text="$H$10">
      <formula>NOT(ISERROR(SEARCH($H$10,E294)))</formula>
      <formula>$H$10</formula>
    </cfRule>
    <cfRule type="containsText" dxfId="6226" priority="8331" operator="containsText" text="$H$11">
      <formula>NOT(ISERROR(SEARCH($H$11,E294)))</formula>
      <formula>$H$11</formula>
    </cfRule>
    <cfRule type="containsText" dxfId="6225" priority="8330" operator="containsText" text="$H$12">
      <formula>NOT(ISERROR(SEARCH($H$12,E294)))</formula>
      <formula>$H$12</formula>
    </cfRule>
    <cfRule type="containsText" dxfId="6224" priority="8329" operator="containsText" text="$H$13">
      <formula>NOT(ISERROR(SEARCH($H$13,E294)))</formula>
      <formula>$H$13</formula>
    </cfRule>
  </conditionalFormatting>
  <conditionalFormatting sqref="C312 C314 C316 C318">
    <cfRule type="containsText" dxfId="6223" priority="8328" operator="containsText" text="$H$7">
      <formula>NOT(ISERROR(SEARCH($H$7,C312)))</formula>
      <formula>$H$7</formula>
    </cfRule>
    <cfRule type="containsText" dxfId="6222" priority="8327" operator="containsText" text="$H$8">
      <formula>NOT(ISERROR(SEARCH($H$8,C312)))</formula>
      <formula>$H$8</formula>
    </cfRule>
    <cfRule type="containsText" dxfId="6221" priority="8326" operator="containsText" text="$H$8">
      <formula>NOT(ISERROR(SEARCH($H$8,C312)))</formula>
      <formula>$H$8</formula>
    </cfRule>
    <cfRule type="containsText" dxfId="6220" priority="8325" operator="containsText" text="$H$9">
      <formula>NOT(ISERROR(SEARCH($H$9,C312)))</formula>
      <formula>$H$9</formula>
    </cfRule>
    <cfRule type="containsText" dxfId="6219" priority="8324" operator="containsText" text="$H$10">
      <formula>NOT(ISERROR(SEARCH($H$10,C312)))</formula>
      <formula>$H$10</formula>
    </cfRule>
    <cfRule type="containsText" dxfId="6218" priority="8323" operator="containsText" text="$H$11">
      <formula>NOT(ISERROR(SEARCH($H$11,C312)))</formula>
      <formula>$H$11</formula>
    </cfRule>
    <cfRule type="containsText" dxfId="6217" priority="8322" operator="containsText" text="$H$12">
      <formula>NOT(ISERROR(SEARCH($H$12,C312)))</formula>
      <formula>$H$12</formula>
    </cfRule>
    <cfRule type="containsText" dxfId="6216" priority="8321" operator="containsText" text="$H$13">
      <formula>NOT(ISERROR(SEARCH($H$13,C312)))</formula>
      <formula>$H$13</formula>
    </cfRule>
  </conditionalFormatting>
  <conditionalFormatting sqref="C312 C314 C316 C318">
    <cfRule type="containsText" dxfId="6215" priority="8320" operator="containsText" text="$H$7">
      <formula>NOT(ISERROR(SEARCH($H$7,C312)))</formula>
      <formula>$H$7</formula>
    </cfRule>
    <cfRule type="containsText" dxfId="6214" priority="8319" operator="containsText" text="$H$8">
      <formula>NOT(ISERROR(SEARCH($H$8,C312)))</formula>
      <formula>$H$8</formula>
    </cfRule>
    <cfRule type="containsText" dxfId="6213" priority="8318" operator="containsText" text="$H$8">
      <formula>NOT(ISERROR(SEARCH($H$8,C312)))</formula>
      <formula>$H$8</formula>
    </cfRule>
    <cfRule type="containsText" dxfId="6212" priority="8317" operator="containsText" text="$H$9">
      <formula>NOT(ISERROR(SEARCH($H$9,C312)))</formula>
      <formula>$H$9</formula>
    </cfRule>
    <cfRule type="containsText" dxfId="6211" priority="8316" operator="containsText" text="$H$10">
      <formula>NOT(ISERROR(SEARCH($H$10,C312)))</formula>
      <formula>$H$10</formula>
    </cfRule>
    <cfRule type="containsText" dxfId="6210" priority="8315" operator="containsText" text="$H$11">
      <formula>NOT(ISERROR(SEARCH($H$11,C312)))</formula>
      <formula>$H$11</formula>
    </cfRule>
    <cfRule type="containsText" dxfId="6209" priority="8314" operator="containsText" text="$H$12">
      <formula>NOT(ISERROR(SEARCH($H$12,C312)))</formula>
      <formula>$H$12</formula>
    </cfRule>
    <cfRule type="containsText" dxfId="6208" priority="8313" operator="containsText" text="$H$13">
      <formula>NOT(ISERROR(SEARCH($H$13,C312)))</formula>
      <formula>$H$13</formula>
    </cfRule>
  </conditionalFormatting>
  <conditionalFormatting sqref="E312 E314 E316 E318">
    <cfRule type="containsText" dxfId="6207" priority="8312" operator="containsText" text="$H$7">
      <formula>NOT(ISERROR(SEARCH($H$7,E312)))</formula>
      <formula>$H$7</formula>
    </cfRule>
    <cfRule type="containsText" dxfId="6206" priority="8311" operator="containsText" text="$H$8">
      <formula>NOT(ISERROR(SEARCH($H$8,E312)))</formula>
      <formula>$H$8</formula>
    </cfRule>
    <cfRule type="containsText" dxfId="6205" priority="8310" operator="containsText" text="$H$8">
      <formula>NOT(ISERROR(SEARCH($H$8,E312)))</formula>
      <formula>$H$8</formula>
    </cfRule>
    <cfRule type="containsText" dxfId="6204" priority="8309" operator="containsText" text="$H$9">
      <formula>NOT(ISERROR(SEARCH($H$9,E312)))</formula>
      <formula>$H$9</formula>
    </cfRule>
    <cfRule type="containsText" dxfId="6203" priority="8308" operator="containsText" text="$H$10">
      <formula>NOT(ISERROR(SEARCH($H$10,E312)))</formula>
      <formula>$H$10</formula>
    </cfRule>
    <cfRule type="containsText" dxfId="6202" priority="8307" operator="containsText" text="$H$11">
      <formula>NOT(ISERROR(SEARCH($H$11,E312)))</formula>
      <formula>$H$11</formula>
    </cfRule>
    <cfRule type="containsText" dxfId="6201" priority="8306" operator="containsText" text="$H$12">
      <formula>NOT(ISERROR(SEARCH($H$12,E312)))</formula>
      <formula>$H$12</formula>
    </cfRule>
    <cfRule type="containsText" dxfId="6200" priority="8305" operator="containsText" text="$H$13">
      <formula>NOT(ISERROR(SEARCH($H$13,E312)))</formula>
      <formula>$H$13</formula>
    </cfRule>
  </conditionalFormatting>
  <conditionalFormatting sqref="E312 E314 E316 E318">
    <cfRule type="containsText" dxfId="6199" priority="8304" operator="containsText" text="$H$7">
      <formula>NOT(ISERROR(SEARCH($H$7,E312)))</formula>
      <formula>$H$7</formula>
    </cfRule>
    <cfRule type="containsText" dxfId="6198" priority="8303" operator="containsText" text="$H$8">
      <formula>NOT(ISERROR(SEARCH($H$8,E312)))</formula>
      <formula>$H$8</formula>
    </cfRule>
    <cfRule type="containsText" dxfId="6197" priority="8302" operator="containsText" text="$H$8">
      <formula>NOT(ISERROR(SEARCH($H$8,E312)))</formula>
      <formula>$H$8</formula>
    </cfRule>
    <cfRule type="containsText" dxfId="6196" priority="8301" operator="containsText" text="$H$9">
      <formula>NOT(ISERROR(SEARCH($H$9,E312)))</formula>
      <formula>$H$9</formula>
    </cfRule>
    <cfRule type="containsText" dxfId="6195" priority="8300" operator="containsText" text="$H$10">
      <formula>NOT(ISERROR(SEARCH($H$10,E312)))</formula>
      <formula>$H$10</formula>
    </cfRule>
    <cfRule type="containsText" dxfId="6194" priority="8299" operator="containsText" text="$H$11">
      <formula>NOT(ISERROR(SEARCH($H$11,E312)))</formula>
      <formula>$H$11</formula>
    </cfRule>
    <cfRule type="containsText" dxfId="6193" priority="8298" operator="containsText" text="$H$12">
      <formula>NOT(ISERROR(SEARCH($H$12,E312)))</formula>
      <formula>$H$12</formula>
    </cfRule>
    <cfRule type="containsText" dxfId="6192" priority="8297" operator="containsText" text="$H$13">
      <formula>NOT(ISERROR(SEARCH($H$13,E312)))</formula>
      <formula>$H$13</formula>
    </cfRule>
  </conditionalFormatting>
  <conditionalFormatting sqref="F320 F322 F324 F326">
    <cfRule type="containsText" dxfId="6191" priority="8296" operator="containsText" text="$H$7">
      <formula>NOT(ISERROR(SEARCH($H$7,F320)))</formula>
      <formula>$H$7</formula>
    </cfRule>
    <cfRule type="containsText" dxfId="6190" priority="8295" operator="containsText" text="$H$8">
      <formula>NOT(ISERROR(SEARCH($H$8,F320)))</formula>
      <formula>$H$8</formula>
    </cfRule>
    <cfRule type="containsText" dxfId="6189" priority="8294" operator="containsText" text="$H$8">
      <formula>NOT(ISERROR(SEARCH($H$8,F320)))</formula>
      <formula>$H$8</formula>
    </cfRule>
    <cfRule type="containsText" dxfId="6188" priority="8293" operator="containsText" text="$H$9">
      <formula>NOT(ISERROR(SEARCH($H$9,F320)))</formula>
      <formula>$H$9</formula>
    </cfRule>
    <cfRule type="containsText" dxfId="6187" priority="8292" operator="containsText" text="$H$10">
      <formula>NOT(ISERROR(SEARCH($H$10,F320)))</formula>
      <formula>$H$10</formula>
    </cfRule>
    <cfRule type="containsText" dxfId="6186" priority="8291" operator="containsText" text="$H$11">
      <formula>NOT(ISERROR(SEARCH($H$11,F320)))</formula>
      <formula>$H$11</formula>
    </cfRule>
    <cfRule type="containsText" dxfId="6185" priority="8290" operator="containsText" text="$H$12">
      <formula>NOT(ISERROR(SEARCH($H$12,F320)))</formula>
      <formula>$H$12</formula>
    </cfRule>
    <cfRule type="containsText" dxfId="6184" priority="8289" operator="containsText" text="$H$13">
      <formula>NOT(ISERROR(SEARCH($H$13,F320)))</formula>
      <formula>$H$13</formula>
    </cfRule>
  </conditionalFormatting>
  <conditionalFormatting sqref="F320 F322 F324 F326">
    <cfRule type="containsText" dxfId="6183" priority="8288" operator="containsText" text="$H$7">
      <formula>NOT(ISERROR(SEARCH($H$7,F320)))</formula>
      <formula>$H$7</formula>
    </cfRule>
    <cfRule type="containsText" dxfId="6182" priority="8287" operator="containsText" text="$H$8">
      <formula>NOT(ISERROR(SEARCH($H$8,F320)))</formula>
      <formula>$H$8</formula>
    </cfRule>
    <cfRule type="containsText" dxfId="6181" priority="8286" operator="containsText" text="$H$8">
      <formula>NOT(ISERROR(SEARCH($H$8,F320)))</formula>
      <formula>$H$8</formula>
    </cfRule>
    <cfRule type="containsText" dxfId="6180" priority="8285" operator="containsText" text="$H$9">
      <formula>NOT(ISERROR(SEARCH($H$9,F320)))</formula>
      <formula>$H$9</formula>
    </cfRule>
    <cfRule type="containsText" dxfId="6179" priority="8284" operator="containsText" text="$H$10">
      <formula>NOT(ISERROR(SEARCH($H$10,F320)))</formula>
      <formula>$H$10</formula>
    </cfRule>
    <cfRule type="containsText" dxfId="6178" priority="8283" operator="containsText" text="$H$11">
      <formula>NOT(ISERROR(SEARCH($H$11,F320)))</formula>
      <formula>$H$11</formula>
    </cfRule>
    <cfRule type="containsText" dxfId="6177" priority="8282" operator="containsText" text="$H$12">
      <formula>NOT(ISERROR(SEARCH($H$12,F320)))</formula>
      <formula>$H$12</formula>
    </cfRule>
    <cfRule type="containsText" dxfId="6176" priority="8281" operator="containsText" text="$H$13">
      <formula>NOT(ISERROR(SEARCH($H$13,F320)))</formula>
      <formula>$H$13</formula>
    </cfRule>
  </conditionalFormatting>
  <conditionalFormatting sqref="C330 C336 C334 C332">
    <cfRule type="containsText" dxfId="6175" priority="8280" operator="containsText" text="$H$7">
      <formula>NOT(ISERROR(SEARCH($H$7,C330)))</formula>
      <formula>$H$7</formula>
    </cfRule>
    <cfRule type="containsText" dxfId="6174" priority="8279" operator="containsText" text="$H$8">
      <formula>NOT(ISERROR(SEARCH($H$8,C330)))</formula>
      <formula>$H$8</formula>
    </cfRule>
    <cfRule type="containsText" dxfId="6173" priority="8278" operator="containsText" text="$H$8">
      <formula>NOT(ISERROR(SEARCH($H$8,C330)))</formula>
      <formula>$H$8</formula>
    </cfRule>
    <cfRule type="containsText" dxfId="6172" priority="8277" operator="containsText" text="$H$9">
      <formula>NOT(ISERROR(SEARCH($H$9,C330)))</formula>
      <formula>$H$9</formula>
    </cfRule>
    <cfRule type="containsText" dxfId="6171" priority="8276" operator="containsText" text="$H$10">
      <formula>NOT(ISERROR(SEARCH($H$10,C330)))</formula>
      <formula>$H$10</formula>
    </cfRule>
    <cfRule type="containsText" dxfId="6170" priority="8275" operator="containsText" text="$H$11">
      <formula>NOT(ISERROR(SEARCH($H$11,C330)))</formula>
      <formula>$H$11</formula>
    </cfRule>
    <cfRule type="containsText" dxfId="6169" priority="8274" operator="containsText" text="$H$12">
      <formula>NOT(ISERROR(SEARCH($H$12,C330)))</formula>
      <formula>$H$12</formula>
    </cfRule>
    <cfRule type="containsText" dxfId="6168" priority="8273" operator="containsText" text="$H$13">
      <formula>NOT(ISERROR(SEARCH($H$13,C330)))</formula>
      <formula>$H$13</formula>
    </cfRule>
  </conditionalFormatting>
  <conditionalFormatting sqref="C330 C336 C334 C332">
    <cfRule type="containsText" dxfId="6167" priority="8272" operator="containsText" text="$H$7">
      <formula>NOT(ISERROR(SEARCH($H$7,C330)))</formula>
      <formula>$H$7</formula>
    </cfRule>
    <cfRule type="containsText" dxfId="6166" priority="8271" operator="containsText" text="$H$8">
      <formula>NOT(ISERROR(SEARCH($H$8,C330)))</formula>
      <formula>$H$8</formula>
    </cfRule>
    <cfRule type="containsText" dxfId="6165" priority="8270" operator="containsText" text="$H$8">
      <formula>NOT(ISERROR(SEARCH($H$8,C330)))</formula>
      <formula>$H$8</formula>
    </cfRule>
    <cfRule type="containsText" dxfId="6164" priority="8269" operator="containsText" text="$H$9">
      <formula>NOT(ISERROR(SEARCH($H$9,C330)))</formula>
      <formula>$H$9</formula>
    </cfRule>
    <cfRule type="containsText" dxfId="6163" priority="8268" operator="containsText" text="$H$10">
      <formula>NOT(ISERROR(SEARCH($H$10,C330)))</formula>
      <formula>$H$10</formula>
    </cfRule>
    <cfRule type="containsText" dxfId="6162" priority="8267" operator="containsText" text="$H$11">
      <formula>NOT(ISERROR(SEARCH($H$11,C330)))</formula>
      <formula>$H$11</formula>
    </cfRule>
    <cfRule type="containsText" dxfId="6161" priority="8266" operator="containsText" text="$H$12">
      <formula>NOT(ISERROR(SEARCH($H$12,C330)))</formula>
      <formula>$H$12</formula>
    </cfRule>
    <cfRule type="containsText" dxfId="6160" priority="8265" operator="containsText" text="$H$13">
      <formula>NOT(ISERROR(SEARCH($H$13,C330)))</formula>
      <formula>$H$13</formula>
    </cfRule>
  </conditionalFormatting>
  <conditionalFormatting sqref="E330 E332 E334 E336">
    <cfRule type="containsText" dxfId="6159" priority="8264" operator="containsText" text="$H$7">
      <formula>NOT(ISERROR(SEARCH($H$7,E330)))</formula>
      <formula>$H$7</formula>
    </cfRule>
    <cfRule type="containsText" dxfId="6158" priority="8263" operator="containsText" text="$H$8">
      <formula>NOT(ISERROR(SEARCH($H$8,E330)))</formula>
      <formula>$H$8</formula>
    </cfRule>
    <cfRule type="containsText" dxfId="6157" priority="8262" operator="containsText" text="$H$8">
      <formula>NOT(ISERROR(SEARCH($H$8,E330)))</formula>
      <formula>$H$8</formula>
    </cfRule>
    <cfRule type="containsText" dxfId="6156" priority="8261" operator="containsText" text="$H$9">
      <formula>NOT(ISERROR(SEARCH($H$9,E330)))</formula>
      <formula>$H$9</formula>
    </cfRule>
    <cfRule type="containsText" dxfId="6155" priority="8260" operator="containsText" text="$H$10">
      <formula>NOT(ISERROR(SEARCH($H$10,E330)))</formula>
      <formula>$H$10</formula>
    </cfRule>
    <cfRule type="containsText" dxfId="6154" priority="8259" operator="containsText" text="$H$11">
      <formula>NOT(ISERROR(SEARCH($H$11,E330)))</formula>
      <formula>$H$11</formula>
    </cfRule>
    <cfRule type="containsText" dxfId="6153" priority="8258" operator="containsText" text="$H$12">
      <formula>NOT(ISERROR(SEARCH($H$12,E330)))</formula>
      <formula>$H$12</formula>
    </cfRule>
    <cfRule type="containsText" dxfId="6152" priority="8257" operator="containsText" text="$H$13">
      <formula>NOT(ISERROR(SEARCH($H$13,E330)))</formula>
      <formula>$H$13</formula>
    </cfRule>
  </conditionalFormatting>
  <conditionalFormatting sqref="E330 E332 E334 E336">
    <cfRule type="containsText" dxfId="6151" priority="8256" operator="containsText" text="$H$7">
      <formula>NOT(ISERROR(SEARCH($H$7,E330)))</formula>
      <formula>$H$7</formula>
    </cfRule>
    <cfRule type="containsText" dxfId="6150" priority="8255" operator="containsText" text="$H$8">
      <formula>NOT(ISERROR(SEARCH($H$8,E330)))</formula>
      <formula>$H$8</formula>
    </cfRule>
    <cfRule type="containsText" dxfId="6149" priority="8254" operator="containsText" text="$H$8">
      <formula>NOT(ISERROR(SEARCH($H$8,E330)))</formula>
      <formula>$H$8</formula>
    </cfRule>
    <cfRule type="containsText" dxfId="6148" priority="8253" operator="containsText" text="$H$9">
      <formula>NOT(ISERROR(SEARCH($H$9,E330)))</formula>
      <formula>$H$9</formula>
    </cfRule>
    <cfRule type="containsText" dxfId="6147" priority="8252" operator="containsText" text="$H$10">
      <formula>NOT(ISERROR(SEARCH($H$10,E330)))</formula>
      <formula>$H$10</formula>
    </cfRule>
    <cfRule type="containsText" dxfId="6146" priority="8251" operator="containsText" text="$H$11">
      <formula>NOT(ISERROR(SEARCH($H$11,E330)))</formula>
      <formula>$H$11</formula>
    </cfRule>
    <cfRule type="containsText" dxfId="6145" priority="8250" operator="containsText" text="$H$12">
      <formula>NOT(ISERROR(SEARCH($H$12,E330)))</formula>
      <formula>$H$12</formula>
    </cfRule>
    <cfRule type="containsText" dxfId="6144" priority="8249" operator="containsText" text="$H$13">
      <formula>NOT(ISERROR(SEARCH($H$13,E330)))</formula>
      <formula>$H$13</formula>
    </cfRule>
  </conditionalFormatting>
  <conditionalFormatting sqref="F338 F344 F342 F340">
    <cfRule type="containsText" dxfId="6143" priority="8248" operator="containsText" text="$H$7">
      <formula>NOT(ISERROR(SEARCH($H$7,F338)))</formula>
      <formula>$H$7</formula>
    </cfRule>
    <cfRule type="containsText" dxfId="6142" priority="8247" operator="containsText" text="$H$8">
      <formula>NOT(ISERROR(SEARCH($H$8,F338)))</formula>
      <formula>$H$8</formula>
    </cfRule>
    <cfRule type="containsText" dxfId="6141" priority="8246" operator="containsText" text="$H$8">
      <formula>NOT(ISERROR(SEARCH($H$8,F338)))</formula>
      <formula>$H$8</formula>
    </cfRule>
    <cfRule type="containsText" dxfId="6140" priority="8245" operator="containsText" text="$H$9">
      <formula>NOT(ISERROR(SEARCH($H$9,F338)))</formula>
      <formula>$H$9</formula>
    </cfRule>
    <cfRule type="containsText" dxfId="6139" priority="8244" operator="containsText" text="$H$10">
      <formula>NOT(ISERROR(SEARCH($H$10,F338)))</formula>
      <formula>$H$10</formula>
    </cfRule>
    <cfRule type="containsText" dxfId="6138" priority="8243" operator="containsText" text="$H$11">
      <formula>NOT(ISERROR(SEARCH($H$11,F338)))</formula>
      <formula>$H$11</formula>
    </cfRule>
    <cfRule type="containsText" dxfId="6137" priority="8242" operator="containsText" text="$H$12">
      <formula>NOT(ISERROR(SEARCH($H$12,F338)))</formula>
      <formula>$H$12</formula>
    </cfRule>
    <cfRule type="containsText" dxfId="6136" priority="8241" operator="containsText" text="$H$13">
      <formula>NOT(ISERROR(SEARCH($H$13,F338)))</formula>
      <formula>$H$13</formula>
    </cfRule>
  </conditionalFormatting>
  <conditionalFormatting sqref="F338 F344 F342 F340">
    <cfRule type="containsText" dxfId="6135" priority="8240" operator="containsText" text="$H$7">
      <formula>NOT(ISERROR(SEARCH($H$7,F338)))</formula>
      <formula>$H$7</formula>
    </cfRule>
    <cfRule type="containsText" dxfId="6134" priority="8239" operator="containsText" text="$H$8">
      <formula>NOT(ISERROR(SEARCH($H$8,F338)))</formula>
      <formula>$H$8</formula>
    </cfRule>
    <cfRule type="containsText" dxfId="6133" priority="8238" operator="containsText" text="$H$8">
      <formula>NOT(ISERROR(SEARCH($H$8,F338)))</formula>
      <formula>$H$8</formula>
    </cfRule>
    <cfRule type="containsText" dxfId="6132" priority="8237" operator="containsText" text="$H$9">
      <formula>NOT(ISERROR(SEARCH($H$9,F338)))</formula>
      <formula>$H$9</formula>
    </cfRule>
    <cfRule type="containsText" dxfId="6131" priority="8236" operator="containsText" text="$H$10">
      <formula>NOT(ISERROR(SEARCH($H$10,F338)))</formula>
      <formula>$H$10</formula>
    </cfRule>
    <cfRule type="containsText" dxfId="6130" priority="8235" operator="containsText" text="$H$11">
      <formula>NOT(ISERROR(SEARCH($H$11,F338)))</formula>
      <formula>$H$11</formula>
    </cfRule>
    <cfRule type="containsText" dxfId="6129" priority="8234" operator="containsText" text="$H$12">
      <formula>NOT(ISERROR(SEARCH($H$12,F338)))</formula>
      <formula>$H$12</formula>
    </cfRule>
    <cfRule type="containsText" dxfId="6128" priority="8233" operator="containsText" text="$H$13">
      <formula>NOT(ISERROR(SEARCH($H$13,F338)))</formula>
      <formula>$H$13</formula>
    </cfRule>
  </conditionalFormatting>
  <conditionalFormatting sqref="E354 E348:E352">
    <cfRule type="containsText" dxfId="6127" priority="8232" operator="containsText" text="$H$7">
      <formula>NOT(ISERROR(SEARCH($H$7,E348)))</formula>
      <formula>$H$7</formula>
    </cfRule>
    <cfRule type="containsText" dxfId="6126" priority="8231" operator="containsText" text="$H$8">
      <formula>NOT(ISERROR(SEARCH($H$8,E348)))</formula>
      <formula>$H$8</formula>
    </cfRule>
    <cfRule type="containsText" dxfId="6125" priority="8230" operator="containsText" text="$H$8">
      <formula>NOT(ISERROR(SEARCH($H$8,E348)))</formula>
      <formula>$H$8</formula>
    </cfRule>
    <cfRule type="containsText" dxfId="6124" priority="8229" operator="containsText" text="$H$9">
      <formula>NOT(ISERROR(SEARCH($H$9,E348)))</formula>
      <formula>$H$9</formula>
    </cfRule>
    <cfRule type="containsText" dxfId="6123" priority="8228" operator="containsText" text="$H$10">
      <formula>NOT(ISERROR(SEARCH($H$10,E348)))</formula>
      <formula>$H$10</formula>
    </cfRule>
    <cfRule type="containsText" dxfId="6122" priority="8227" operator="containsText" text="$H$11">
      <formula>NOT(ISERROR(SEARCH($H$11,E348)))</formula>
      <formula>$H$11</formula>
    </cfRule>
    <cfRule type="containsText" dxfId="6121" priority="8226" operator="containsText" text="$H$12">
      <formula>NOT(ISERROR(SEARCH($H$12,E348)))</formula>
      <formula>$H$12</formula>
    </cfRule>
    <cfRule type="containsText" dxfId="6120" priority="8225" operator="containsText" text="$H$13">
      <formula>NOT(ISERROR(SEARCH($H$13,E348)))</formula>
      <formula>$H$13</formula>
    </cfRule>
  </conditionalFormatting>
  <conditionalFormatting sqref="E354 E348:E352">
    <cfRule type="containsText" dxfId="6119" priority="8224" operator="containsText" text="$H$7">
      <formula>NOT(ISERROR(SEARCH($H$7,E348)))</formula>
      <formula>$H$7</formula>
    </cfRule>
    <cfRule type="containsText" dxfId="6118" priority="8223" operator="containsText" text="$H$8">
      <formula>NOT(ISERROR(SEARCH($H$8,E348)))</formula>
      <formula>$H$8</formula>
    </cfRule>
    <cfRule type="containsText" dxfId="6117" priority="8222" operator="containsText" text="$H$8">
      <formula>NOT(ISERROR(SEARCH($H$8,E348)))</formula>
      <formula>$H$8</formula>
    </cfRule>
    <cfRule type="containsText" dxfId="6116" priority="8221" operator="containsText" text="$H$9">
      <formula>NOT(ISERROR(SEARCH($H$9,E348)))</formula>
      <formula>$H$9</formula>
    </cfRule>
    <cfRule type="containsText" dxfId="6115" priority="8220" operator="containsText" text="$H$10">
      <formula>NOT(ISERROR(SEARCH($H$10,E348)))</formula>
      <formula>$H$10</formula>
    </cfRule>
    <cfRule type="containsText" dxfId="6114" priority="8219" operator="containsText" text="$H$11">
      <formula>NOT(ISERROR(SEARCH($H$11,E348)))</formula>
      <formula>$H$11</formula>
    </cfRule>
    <cfRule type="containsText" dxfId="6113" priority="8218" operator="containsText" text="$H$12">
      <formula>NOT(ISERROR(SEARCH($H$12,E348)))</formula>
      <formula>$H$12</formula>
    </cfRule>
    <cfRule type="containsText" dxfId="6112" priority="8217" operator="containsText" text="$H$13">
      <formula>NOT(ISERROR(SEARCH($H$13,E348)))</formula>
      <formula>$H$13</formula>
    </cfRule>
  </conditionalFormatting>
  <conditionalFormatting sqref="F348 F350 F352 F354">
    <cfRule type="containsText" dxfId="6111" priority="8216" operator="containsText" text="$H$7">
      <formula>NOT(ISERROR(SEARCH($H$7,F348)))</formula>
      <formula>$H$7</formula>
    </cfRule>
    <cfRule type="containsText" dxfId="6110" priority="8215" operator="containsText" text="$H$8">
      <formula>NOT(ISERROR(SEARCH($H$8,F348)))</formula>
      <formula>$H$8</formula>
    </cfRule>
    <cfRule type="containsText" dxfId="6109" priority="8214" operator="containsText" text="$H$8">
      <formula>NOT(ISERROR(SEARCH($H$8,F348)))</formula>
      <formula>$H$8</formula>
    </cfRule>
    <cfRule type="containsText" dxfId="6108" priority="8213" operator="containsText" text="$H$9">
      <formula>NOT(ISERROR(SEARCH($H$9,F348)))</formula>
      <formula>$H$9</formula>
    </cfRule>
    <cfRule type="containsText" dxfId="6107" priority="8212" operator="containsText" text="$H$10">
      <formula>NOT(ISERROR(SEARCH($H$10,F348)))</formula>
      <formula>$H$10</formula>
    </cfRule>
    <cfRule type="containsText" dxfId="6106" priority="8211" operator="containsText" text="$H$11">
      <formula>NOT(ISERROR(SEARCH($H$11,F348)))</formula>
      <formula>$H$11</formula>
    </cfRule>
    <cfRule type="containsText" dxfId="6105" priority="8210" operator="containsText" text="$H$12">
      <formula>NOT(ISERROR(SEARCH($H$12,F348)))</formula>
      <formula>$H$12</formula>
    </cfRule>
    <cfRule type="containsText" dxfId="6104" priority="8209" operator="containsText" text="$H$13">
      <formula>NOT(ISERROR(SEARCH($H$13,F348)))</formula>
      <formula>$H$13</formula>
    </cfRule>
  </conditionalFormatting>
  <conditionalFormatting sqref="F348 F350 F352 F354">
    <cfRule type="containsText" dxfId="6103" priority="8208" operator="containsText" text="$H$7">
      <formula>NOT(ISERROR(SEARCH($H$7,F348)))</formula>
      <formula>$H$7</formula>
    </cfRule>
    <cfRule type="containsText" dxfId="6102" priority="8207" operator="containsText" text="$H$8">
      <formula>NOT(ISERROR(SEARCH($H$8,F348)))</formula>
      <formula>$H$8</formula>
    </cfRule>
    <cfRule type="containsText" dxfId="6101" priority="8206" operator="containsText" text="$H$8">
      <formula>NOT(ISERROR(SEARCH($H$8,F348)))</formula>
      <formula>$H$8</formula>
    </cfRule>
    <cfRule type="containsText" dxfId="6100" priority="8205" operator="containsText" text="$H$9">
      <formula>NOT(ISERROR(SEARCH($H$9,F348)))</formula>
      <formula>$H$9</formula>
    </cfRule>
    <cfRule type="containsText" dxfId="6099" priority="8204" operator="containsText" text="$H$10">
      <formula>NOT(ISERROR(SEARCH($H$10,F348)))</formula>
      <formula>$H$10</formula>
    </cfRule>
    <cfRule type="containsText" dxfId="6098" priority="8203" operator="containsText" text="$H$11">
      <formula>NOT(ISERROR(SEARCH($H$11,F348)))</formula>
      <formula>$H$11</formula>
    </cfRule>
    <cfRule type="containsText" dxfId="6097" priority="8202" operator="containsText" text="$H$12">
      <formula>NOT(ISERROR(SEARCH($H$12,F348)))</formula>
      <formula>$H$12</formula>
    </cfRule>
    <cfRule type="containsText" dxfId="6096" priority="8201" operator="containsText" text="$H$13">
      <formula>NOT(ISERROR(SEARCH($H$13,F348)))</formula>
      <formula>$H$13</formula>
    </cfRule>
  </conditionalFormatting>
  <conditionalFormatting sqref="B374 B376 B378 B380">
    <cfRule type="containsText" dxfId="6095" priority="8200" operator="containsText" text="$H$7">
      <formula>NOT(ISERROR(SEARCH($H$7,B374)))</formula>
      <formula>$H$7</formula>
    </cfRule>
    <cfRule type="containsText" dxfId="6094" priority="8199" operator="containsText" text="$H$8">
      <formula>NOT(ISERROR(SEARCH($H$8,B374)))</formula>
      <formula>$H$8</formula>
    </cfRule>
    <cfRule type="containsText" dxfId="6093" priority="8198" operator="containsText" text="$H$8">
      <formula>NOT(ISERROR(SEARCH($H$8,B374)))</formula>
      <formula>$H$8</formula>
    </cfRule>
    <cfRule type="containsText" dxfId="6092" priority="8197" operator="containsText" text="$H$9">
      <formula>NOT(ISERROR(SEARCH($H$9,B374)))</formula>
      <formula>$H$9</formula>
    </cfRule>
    <cfRule type="containsText" dxfId="6091" priority="8196" operator="containsText" text="$H$10">
      <formula>NOT(ISERROR(SEARCH($H$10,B374)))</formula>
      <formula>$H$10</formula>
    </cfRule>
    <cfRule type="containsText" dxfId="6090" priority="8195" operator="containsText" text="$H$11">
      <formula>NOT(ISERROR(SEARCH($H$11,B374)))</formula>
      <formula>$H$11</formula>
    </cfRule>
    <cfRule type="containsText" dxfId="6089" priority="8194" operator="containsText" text="$H$12">
      <formula>NOT(ISERROR(SEARCH($H$12,B374)))</formula>
      <formula>$H$12</formula>
    </cfRule>
    <cfRule type="containsText" dxfId="6088" priority="8193" operator="containsText" text="$H$13">
      <formula>NOT(ISERROR(SEARCH($H$13,B374)))</formula>
      <formula>$H$13</formula>
    </cfRule>
  </conditionalFormatting>
  <conditionalFormatting sqref="B374 B376 B378 B380">
    <cfRule type="containsText" dxfId="6087" priority="8192" operator="containsText" text="$H$7">
      <formula>NOT(ISERROR(SEARCH($H$7,B374)))</formula>
      <formula>$H$7</formula>
    </cfRule>
    <cfRule type="containsText" dxfId="6086" priority="8191" operator="containsText" text="$H$8">
      <formula>NOT(ISERROR(SEARCH($H$8,B374)))</formula>
      <formula>$H$8</formula>
    </cfRule>
    <cfRule type="containsText" dxfId="6085" priority="8190" operator="containsText" text="$H$8">
      <formula>NOT(ISERROR(SEARCH($H$8,B374)))</formula>
      <formula>$H$8</formula>
    </cfRule>
    <cfRule type="containsText" dxfId="6084" priority="8189" operator="containsText" text="$H$9">
      <formula>NOT(ISERROR(SEARCH($H$9,B374)))</formula>
      <formula>$H$9</formula>
    </cfRule>
    <cfRule type="containsText" dxfId="6083" priority="8188" operator="containsText" text="$H$10">
      <formula>NOT(ISERROR(SEARCH($H$10,B374)))</formula>
      <formula>$H$10</formula>
    </cfRule>
    <cfRule type="containsText" dxfId="6082" priority="8187" operator="containsText" text="$H$11">
      <formula>NOT(ISERROR(SEARCH($H$11,B374)))</formula>
      <formula>$H$11</formula>
    </cfRule>
    <cfRule type="containsText" dxfId="6081" priority="8186" operator="containsText" text="$H$12">
      <formula>NOT(ISERROR(SEARCH($H$12,B374)))</formula>
      <formula>$H$12</formula>
    </cfRule>
    <cfRule type="containsText" dxfId="6080" priority="8185" operator="containsText" text="$H$13">
      <formula>NOT(ISERROR(SEARCH($H$13,B374)))</formula>
      <formula>$H$13</formula>
    </cfRule>
  </conditionalFormatting>
  <conditionalFormatting sqref="C366 C372 C370 C368">
    <cfRule type="containsText" dxfId="6079" priority="8184" operator="containsText" text="$H$7">
      <formula>NOT(ISERROR(SEARCH($H$7,C366)))</formula>
      <formula>$H$7</formula>
    </cfRule>
    <cfRule type="containsText" dxfId="6078" priority="8183" operator="containsText" text="$H$8">
      <formula>NOT(ISERROR(SEARCH($H$8,C366)))</formula>
      <formula>$H$8</formula>
    </cfRule>
    <cfRule type="containsText" dxfId="6077" priority="8182" operator="containsText" text="$H$8">
      <formula>NOT(ISERROR(SEARCH($H$8,C366)))</formula>
      <formula>$H$8</formula>
    </cfRule>
    <cfRule type="containsText" dxfId="6076" priority="8181" operator="containsText" text="$H$9">
      <formula>NOT(ISERROR(SEARCH($H$9,C366)))</formula>
      <formula>$H$9</formula>
    </cfRule>
    <cfRule type="containsText" dxfId="6075" priority="8180" operator="containsText" text="$H$10">
      <formula>NOT(ISERROR(SEARCH($H$10,C366)))</formula>
      <formula>$H$10</formula>
    </cfRule>
    <cfRule type="containsText" dxfId="6074" priority="8179" operator="containsText" text="$H$11">
      <formula>NOT(ISERROR(SEARCH($H$11,C366)))</formula>
      <formula>$H$11</formula>
    </cfRule>
    <cfRule type="containsText" dxfId="6073" priority="8178" operator="containsText" text="$H$12">
      <formula>NOT(ISERROR(SEARCH($H$12,C366)))</formula>
      <formula>$H$12</formula>
    </cfRule>
    <cfRule type="containsText" dxfId="6072" priority="8177" operator="containsText" text="$H$13">
      <formula>NOT(ISERROR(SEARCH($H$13,C366)))</formula>
      <formula>$H$13</formula>
    </cfRule>
  </conditionalFormatting>
  <conditionalFormatting sqref="C366 C372 C370 C368">
    <cfRule type="containsText" dxfId="6071" priority="8176" operator="containsText" text="$H$7">
      <formula>NOT(ISERROR(SEARCH($H$7,C366)))</formula>
      <formula>$H$7</formula>
    </cfRule>
    <cfRule type="containsText" dxfId="6070" priority="8175" operator="containsText" text="$H$8">
      <formula>NOT(ISERROR(SEARCH($H$8,C366)))</formula>
      <formula>$H$8</formula>
    </cfRule>
    <cfRule type="containsText" dxfId="6069" priority="8174" operator="containsText" text="$H$8">
      <formula>NOT(ISERROR(SEARCH($H$8,C366)))</formula>
      <formula>$H$8</formula>
    </cfRule>
    <cfRule type="containsText" dxfId="6068" priority="8173" operator="containsText" text="$H$9">
      <formula>NOT(ISERROR(SEARCH($H$9,C366)))</formula>
      <formula>$H$9</formula>
    </cfRule>
    <cfRule type="containsText" dxfId="6067" priority="8172" operator="containsText" text="$H$10">
      <formula>NOT(ISERROR(SEARCH($H$10,C366)))</formula>
      <formula>$H$10</formula>
    </cfRule>
    <cfRule type="containsText" dxfId="6066" priority="8171" operator="containsText" text="$H$11">
      <formula>NOT(ISERROR(SEARCH($H$11,C366)))</formula>
      <formula>$H$11</formula>
    </cfRule>
    <cfRule type="containsText" dxfId="6065" priority="8170" operator="containsText" text="$H$12">
      <formula>NOT(ISERROR(SEARCH($H$12,C366)))</formula>
      <formula>$H$12</formula>
    </cfRule>
    <cfRule type="containsText" dxfId="6064" priority="8169" operator="containsText" text="$H$13">
      <formula>NOT(ISERROR(SEARCH($H$13,C366)))</formula>
      <formula>$H$13</formula>
    </cfRule>
  </conditionalFormatting>
  <conditionalFormatting sqref="D366 D368 D370 D372">
    <cfRule type="containsText" dxfId="6063" priority="8168" operator="containsText" text="$H$7">
      <formula>NOT(ISERROR(SEARCH($H$7,D366)))</formula>
      <formula>$H$7</formula>
    </cfRule>
    <cfRule type="containsText" dxfId="6062" priority="8167" operator="containsText" text="$H$8">
      <formula>NOT(ISERROR(SEARCH($H$8,D366)))</formula>
      <formula>$H$8</formula>
    </cfRule>
    <cfRule type="containsText" dxfId="6061" priority="8166" operator="containsText" text="$H$8">
      <formula>NOT(ISERROR(SEARCH($H$8,D366)))</formula>
      <formula>$H$8</formula>
    </cfRule>
    <cfRule type="containsText" dxfId="6060" priority="8165" operator="containsText" text="$H$9">
      <formula>NOT(ISERROR(SEARCH($H$9,D366)))</formula>
      <formula>$H$9</formula>
    </cfRule>
    <cfRule type="containsText" dxfId="6059" priority="8164" operator="containsText" text="$H$10">
      <formula>NOT(ISERROR(SEARCH($H$10,D366)))</formula>
      <formula>$H$10</formula>
    </cfRule>
    <cfRule type="containsText" dxfId="6058" priority="8163" operator="containsText" text="$H$11">
      <formula>NOT(ISERROR(SEARCH($H$11,D366)))</formula>
      <formula>$H$11</formula>
    </cfRule>
    <cfRule type="containsText" dxfId="6057" priority="8162" operator="containsText" text="$H$12">
      <formula>NOT(ISERROR(SEARCH($H$12,D366)))</formula>
      <formula>$H$12</formula>
    </cfRule>
    <cfRule type="containsText" dxfId="6056" priority="8161" operator="containsText" text="$H$13">
      <formula>NOT(ISERROR(SEARCH($H$13,D366)))</formula>
      <formula>$H$13</formula>
    </cfRule>
  </conditionalFormatting>
  <conditionalFormatting sqref="D366 D368 D370 D372">
    <cfRule type="containsText" dxfId="6055" priority="8160" operator="containsText" text="$H$7">
      <formula>NOT(ISERROR(SEARCH($H$7,D366)))</formula>
      <formula>$H$7</formula>
    </cfRule>
    <cfRule type="containsText" dxfId="6054" priority="8159" operator="containsText" text="$H$8">
      <formula>NOT(ISERROR(SEARCH($H$8,D366)))</formula>
      <formula>$H$8</formula>
    </cfRule>
    <cfRule type="containsText" dxfId="6053" priority="8158" operator="containsText" text="$H$8">
      <formula>NOT(ISERROR(SEARCH($H$8,D366)))</formula>
      <formula>$H$8</formula>
    </cfRule>
    <cfRule type="containsText" dxfId="6052" priority="8157" operator="containsText" text="$H$9">
      <formula>NOT(ISERROR(SEARCH($H$9,D366)))</formula>
      <formula>$H$9</formula>
    </cfRule>
    <cfRule type="containsText" dxfId="6051" priority="8156" operator="containsText" text="$H$10">
      <formula>NOT(ISERROR(SEARCH($H$10,D366)))</formula>
      <formula>$H$10</formula>
    </cfRule>
    <cfRule type="containsText" dxfId="6050" priority="8155" operator="containsText" text="$H$11">
      <formula>NOT(ISERROR(SEARCH($H$11,D366)))</formula>
      <formula>$H$11</formula>
    </cfRule>
    <cfRule type="containsText" dxfId="6049" priority="8154" operator="containsText" text="$H$12">
      <formula>NOT(ISERROR(SEARCH($H$12,D366)))</formula>
      <formula>$H$12</formula>
    </cfRule>
    <cfRule type="containsText" dxfId="6048" priority="8153" operator="containsText" text="$H$13">
      <formula>NOT(ISERROR(SEARCH($H$13,D366)))</formula>
      <formula>$H$13</formula>
    </cfRule>
  </conditionalFormatting>
  <conditionalFormatting sqref="E366">
    <cfRule type="containsText" dxfId="6047" priority="8152" operator="containsText" text="$H$7">
      <formula>NOT(ISERROR(SEARCH($H$7,E366)))</formula>
      <formula>$H$7</formula>
    </cfRule>
    <cfRule type="containsText" dxfId="6046" priority="8151" operator="containsText" text="$H$8">
      <formula>NOT(ISERROR(SEARCH($H$8,E366)))</formula>
      <formula>$H$8</formula>
    </cfRule>
    <cfRule type="containsText" dxfId="6045" priority="8150" operator="containsText" text="$H$8">
      <formula>NOT(ISERROR(SEARCH($H$8,E366)))</formula>
      <formula>$H$8</formula>
    </cfRule>
    <cfRule type="containsText" dxfId="6044" priority="8149" operator="containsText" text="$H$9">
      <formula>NOT(ISERROR(SEARCH($H$9,E366)))</formula>
      <formula>$H$9</formula>
    </cfRule>
    <cfRule type="containsText" dxfId="6043" priority="8148" operator="containsText" text="$H$10">
      <formula>NOT(ISERROR(SEARCH($H$10,E366)))</formula>
      <formula>$H$10</formula>
    </cfRule>
    <cfRule type="containsText" dxfId="6042" priority="8147" operator="containsText" text="$H$11">
      <formula>NOT(ISERROR(SEARCH($H$11,E366)))</formula>
      <formula>$H$11</formula>
    </cfRule>
    <cfRule type="containsText" dxfId="6041" priority="8146" operator="containsText" text="$H$12">
      <formula>NOT(ISERROR(SEARCH($H$12,E366)))</formula>
      <formula>$H$12</formula>
    </cfRule>
    <cfRule type="containsText" dxfId="6040" priority="8145" operator="containsText" text="$H$13">
      <formula>NOT(ISERROR(SEARCH($H$13,E366)))</formula>
      <formula>$H$13</formula>
    </cfRule>
  </conditionalFormatting>
  <conditionalFormatting sqref="E366">
    <cfRule type="containsText" dxfId="6039" priority="8144" operator="containsText" text="$H$7">
      <formula>NOT(ISERROR(SEARCH($H$7,E366)))</formula>
      <formula>$H$7</formula>
    </cfRule>
    <cfRule type="containsText" dxfId="6038" priority="8143" operator="containsText" text="$H$8">
      <formula>NOT(ISERROR(SEARCH($H$8,E366)))</formula>
      <formula>$H$8</formula>
    </cfRule>
    <cfRule type="containsText" dxfId="6037" priority="8142" operator="containsText" text="$H$8">
      <formula>NOT(ISERROR(SEARCH($H$8,E366)))</formula>
      <formula>$H$8</formula>
    </cfRule>
    <cfRule type="containsText" dxfId="6036" priority="8141" operator="containsText" text="$H$9">
      <formula>NOT(ISERROR(SEARCH($H$9,E366)))</formula>
      <formula>$H$9</formula>
    </cfRule>
    <cfRule type="containsText" dxfId="6035" priority="8140" operator="containsText" text="$H$10">
      <formula>NOT(ISERROR(SEARCH($H$10,E366)))</formula>
      <formula>$H$10</formula>
    </cfRule>
    <cfRule type="containsText" dxfId="6034" priority="8139" operator="containsText" text="$H$11">
      <formula>NOT(ISERROR(SEARCH($H$11,E366)))</formula>
      <formula>$H$11</formula>
    </cfRule>
    <cfRule type="containsText" dxfId="6033" priority="8138" operator="containsText" text="$H$12">
      <formula>NOT(ISERROR(SEARCH($H$12,E366)))</formula>
      <formula>$H$12</formula>
    </cfRule>
    <cfRule type="containsText" dxfId="6032" priority="8137" operator="containsText" text="$H$13">
      <formula>NOT(ISERROR(SEARCH($H$13,E366)))</formula>
      <formula>$H$13</formula>
    </cfRule>
  </conditionalFormatting>
  <conditionalFormatting sqref="E368">
    <cfRule type="containsText" dxfId="6031" priority="8136" operator="containsText" text="$H$7">
      <formula>NOT(ISERROR(SEARCH($H$7,E368)))</formula>
      <formula>$H$7</formula>
    </cfRule>
    <cfRule type="containsText" dxfId="6030" priority="8135" operator="containsText" text="$H$8">
      <formula>NOT(ISERROR(SEARCH($H$8,E368)))</formula>
      <formula>$H$8</formula>
    </cfRule>
    <cfRule type="containsText" dxfId="6029" priority="8134" operator="containsText" text="$H$8">
      <formula>NOT(ISERROR(SEARCH($H$8,E368)))</formula>
      <formula>$H$8</formula>
    </cfRule>
    <cfRule type="containsText" dxfId="6028" priority="8133" operator="containsText" text="$H$9">
      <formula>NOT(ISERROR(SEARCH($H$9,E368)))</formula>
      <formula>$H$9</formula>
    </cfRule>
    <cfRule type="containsText" dxfId="6027" priority="8132" operator="containsText" text="$H$10">
      <formula>NOT(ISERROR(SEARCH($H$10,E368)))</formula>
      <formula>$H$10</formula>
    </cfRule>
    <cfRule type="containsText" dxfId="6026" priority="8131" operator="containsText" text="$H$11">
      <formula>NOT(ISERROR(SEARCH($H$11,E368)))</formula>
      <formula>$H$11</formula>
    </cfRule>
    <cfRule type="containsText" dxfId="6025" priority="8130" operator="containsText" text="$H$12">
      <formula>NOT(ISERROR(SEARCH($H$12,E368)))</formula>
      <formula>$H$12</formula>
    </cfRule>
    <cfRule type="containsText" dxfId="6024" priority="8129" operator="containsText" text="$H$13">
      <formula>NOT(ISERROR(SEARCH($H$13,E368)))</formula>
      <formula>$H$13</formula>
    </cfRule>
  </conditionalFormatting>
  <conditionalFormatting sqref="E368">
    <cfRule type="containsText" dxfId="6023" priority="8128" operator="containsText" text="$H$7">
      <formula>NOT(ISERROR(SEARCH($H$7,E368)))</formula>
      <formula>$H$7</formula>
    </cfRule>
    <cfRule type="containsText" dxfId="6022" priority="8127" operator="containsText" text="$H$8">
      <formula>NOT(ISERROR(SEARCH($H$8,E368)))</formula>
      <formula>$H$8</formula>
    </cfRule>
    <cfRule type="containsText" dxfId="6021" priority="8126" operator="containsText" text="$H$8">
      <formula>NOT(ISERROR(SEARCH($H$8,E368)))</formula>
      <formula>$H$8</formula>
    </cfRule>
    <cfRule type="containsText" dxfId="6020" priority="8125" operator="containsText" text="$H$9">
      <formula>NOT(ISERROR(SEARCH($H$9,E368)))</formula>
      <formula>$H$9</formula>
    </cfRule>
    <cfRule type="containsText" dxfId="6019" priority="8124" operator="containsText" text="$H$10">
      <formula>NOT(ISERROR(SEARCH($H$10,E368)))</formula>
      <formula>$H$10</formula>
    </cfRule>
    <cfRule type="containsText" dxfId="6018" priority="8123" operator="containsText" text="$H$11">
      <formula>NOT(ISERROR(SEARCH($H$11,E368)))</formula>
      <formula>$H$11</formula>
    </cfRule>
    <cfRule type="containsText" dxfId="6017" priority="8122" operator="containsText" text="$H$12">
      <formula>NOT(ISERROR(SEARCH($H$12,E368)))</formula>
      <formula>$H$12</formula>
    </cfRule>
    <cfRule type="containsText" dxfId="6016" priority="8121" operator="containsText" text="$H$13">
      <formula>NOT(ISERROR(SEARCH($H$13,E368)))</formula>
      <formula>$H$13</formula>
    </cfRule>
  </conditionalFormatting>
  <conditionalFormatting sqref="E370">
    <cfRule type="containsText" dxfId="6015" priority="8120" operator="containsText" text="$H$7">
      <formula>NOT(ISERROR(SEARCH($H$7,E370)))</formula>
      <formula>$H$7</formula>
    </cfRule>
    <cfRule type="containsText" dxfId="6014" priority="8119" operator="containsText" text="$H$8">
      <formula>NOT(ISERROR(SEARCH($H$8,E370)))</formula>
      <formula>$H$8</formula>
    </cfRule>
    <cfRule type="containsText" dxfId="6013" priority="8118" operator="containsText" text="$H$8">
      <formula>NOT(ISERROR(SEARCH($H$8,E370)))</formula>
      <formula>$H$8</formula>
    </cfRule>
    <cfRule type="containsText" dxfId="6012" priority="8117" operator="containsText" text="$H$9">
      <formula>NOT(ISERROR(SEARCH($H$9,E370)))</formula>
      <formula>$H$9</formula>
    </cfRule>
    <cfRule type="containsText" dxfId="6011" priority="8116" operator="containsText" text="$H$10">
      <formula>NOT(ISERROR(SEARCH($H$10,E370)))</formula>
      <formula>$H$10</formula>
    </cfRule>
    <cfRule type="containsText" dxfId="6010" priority="8115" operator="containsText" text="$H$11">
      <formula>NOT(ISERROR(SEARCH($H$11,E370)))</formula>
      <formula>$H$11</formula>
    </cfRule>
    <cfRule type="containsText" dxfId="6009" priority="8114" operator="containsText" text="$H$12">
      <formula>NOT(ISERROR(SEARCH($H$12,E370)))</formula>
      <formula>$H$12</formula>
    </cfRule>
    <cfRule type="containsText" dxfId="6008" priority="8113" operator="containsText" text="$H$13">
      <formula>NOT(ISERROR(SEARCH($H$13,E370)))</formula>
      <formula>$H$13</formula>
    </cfRule>
  </conditionalFormatting>
  <conditionalFormatting sqref="E370">
    <cfRule type="containsText" dxfId="6007" priority="8112" operator="containsText" text="$H$7">
      <formula>NOT(ISERROR(SEARCH($H$7,E370)))</formula>
      <formula>$H$7</formula>
    </cfRule>
    <cfRule type="containsText" dxfId="6006" priority="8111" operator="containsText" text="$H$8">
      <formula>NOT(ISERROR(SEARCH($H$8,E370)))</formula>
      <formula>$H$8</formula>
    </cfRule>
    <cfRule type="containsText" dxfId="6005" priority="8110" operator="containsText" text="$H$8">
      <formula>NOT(ISERROR(SEARCH($H$8,E370)))</formula>
      <formula>$H$8</formula>
    </cfRule>
    <cfRule type="containsText" dxfId="6004" priority="8109" operator="containsText" text="$H$9">
      <formula>NOT(ISERROR(SEARCH($H$9,E370)))</formula>
      <formula>$H$9</formula>
    </cfRule>
    <cfRule type="containsText" dxfId="6003" priority="8108" operator="containsText" text="$H$10">
      <formula>NOT(ISERROR(SEARCH($H$10,E370)))</formula>
      <formula>$H$10</formula>
    </cfRule>
    <cfRule type="containsText" dxfId="6002" priority="8107" operator="containsText" text="$H$11">
      <formula>NOT(ISERROR(SEARCH($H$11,E370)))</formula>
      <formula>$H$11</formula>
    </cfRule>
    <cfRule type="containsText" dxfId="6001" priority="8106" operator="containsText" text="$H$12">
      <formula>NOT(ISERROR(SEARCH($H$12,E370)))</formula>
      <formula>$H$12</formula>
    </cfRule>
    <cfRule type="containsText" dxfId="6000" priority="8105" operator="containsText" text="$H$13">
      <formula>NOT(ISERROR(SEARCH($H$13,E370)))</formula>
      <formula>$H$13</formula>
    </cfRule>
  </conditionalFormatting>
  <conditionalFormatting sqref="E372">
    <cfRule type="containsText" dxfId="5999" priority="8104" operator="containsText" text="$H$7">
      <formula>NOT(ISERROR(SEARCH($H$7,E372)))</formula>
      <formula>$H$7</formula>
    </cfRule>
    <cfRule type="containsText" dxfId="5998" priority="8103" operator="containsText" text="$H$8">
      <formula>NOT(ISERROR(SEARCH($H$8,E372)))</formula>
      <formula>$H$8</formula>
    </cfRule>
    <cfRule type="containsText" dxfId="5997" priority="8102" operator="containsText" text="$H$8">
      <formula>NOT(ISERROR(SEARCH($H$8,E372)))</formula>
      <formula>$H$8</formula>
    </cfRule>
    <cfRule type="containsText" dxfId="5996" priority="8101" operator="containsText" text="$H$9">
      <formula>NOT(ISERROR(SEARCH($H$9,E372)))</formula>
      <formula>$H$9</formula>
    </cfRule>
    <cfRule type="containsText" dxfId="5995" priority="8100" operator="containsText" text="$H$10">
      <formula>NOT(ISERROR(SEARCH($H$10,E372)))</formula>
      <formula>$H$10</formula>
    </cfRule>
    <cfRule type="containsText" dxfId="5994" priority="8099" operator="containsText" text="$H$11">
      <formula>NOT(ISERROR(SEARCH($H$11,E372)))</formula>
      <formula>$H$11</formula>
    </cfRule>
    <cfRule type="containsText" dxfId="5993" priority="8098" operator="containsText" text="$H$12">
      <formula>NOT(ISERROR(SEARCH($H$12,E372)))</formula>
      <formula>$H$12</formula>
    </cfRule>
    <cfRule type="containsText" dxfId="5992" priority="8097" operator="containsText" text="$H$13">
      <formula>NOT(ISERROR(SEARCH($H$13,E372)))</formula>
      <formula>$H$13</formula>
    </cfRule>
  </conditionalFormatting>
  <conditionalFormatting sqref="E372">
    <cfRule type="containsText" dxfId="5991" priority="8096" operator="containsText" text="$H$7">
      <formula>NOT(ISERROR(SEARCH($H$7,E372)))</formula>
      <formula>$H$7</formula>
    </cfRule>
    <cfRule type="containsText" dxfId="5990" priority="8095" operator="containsText" text="$H$8">
      <formula>NOT(ISERROR(SEARCH($H$8,E372)))</formula>
      <formula>$H$8</formula>
    </cfRule>
    <cfRule type="containsText" dxfId="5989" priority="8094" operator="containsText" text="$H$8">
      <formula>NOT(ISERROR(SEARCH($H$8,E372)))</formula>
      <formula>$H$8</formula>
    </cfRule>
    <cfRule type="containsText" dxfId="5988" priority="8093" operator="containsText" text="$H$9">
      <formula>NOT(ISERROR(SEARCH($H$9,E372)))</formula>
      <formula>$H$9</formula>
    </cfRule>
    <cfRule type="containsText" dxfId="5987" priority="8092" operator="containsText" text="$H$10">
      <formula>NOT(ISERROR(SEARCH($H$10,E372)))</formula>
      <formula>$H$10</formula>
    </cfRule>
    <cfRule type="containsText" dxfId="5986" priority="8091" operator="containsText" text="$H$11">
      <formula>NOT(ISERROR(SEARCH($H$11,E372)))</formula>
      <formula>$H$11</formula>
    </cfRule>
    <cfRule type="containsText" dxfId="5985" priority="8090" operator="containsText" text="$H$12">
      <formula>NOT(ISERROR(SEARCH($H$12,E372)))</formula>
      <formula>$H$12</formula>
    </cfRule>
    <cfRule type="containsText" dxfId="5984" priority="8089" operator="containsText" text="$H$13">
      <formula>NOT(ISERROR(SEARCH($H$13,E372)))</formula>
      <formula>$H$13</formula>
    </cfRule>
  </conditionalFormatting>
  <conditionalFormatting sqref="E374">
    <cfRule type="containsText" dxfId="5983" priority="8088" operator="containsText" text="$H$7">
      <formula>NOT(ISERROR(SEARCH($H$7,E374)))</formula>
      <formula>$H$7</formula>
    </cfRule>
    <cfRule type="containsText" dxfId="5982" priority="8087" operator="containsText" text="$H$8">
      <formula>NOT(ISERROR(SEARCH($H$8,E374)))</formula>
      <formula>$H$8</formula>
    </cfRule>
    <cfRule type="containsText" dxfId="5981" priority="8086" operator="containsText" text="$H$8">
      <formula>NOT(ISERROR(SEARCH($H$8,E374)))</formula>
      <formula>$H$8</formula>
    </cfRule>
    <cfRule type="containsText" dxfId="5980" priority="8085" operator="containsText" text="$H$9">
      <formula>NOT(ISERROR(SEARCH($H$9,E374)))</formula>
      <formula>$H$9</formula>
    </cfRule>
    <cfRule type="containsText" dxfId="5979" priority="8084" operator="containsText" text="$H$10">
      <formula>NOT(ISERROR(SEARCH($H$10,E374)))</formula>
      <formula>$H$10</formula>
    </cfRule>
    <cfRule type="containsText" dxfId="5978" priority="8083" operator="containsText" text="$H$11">
      <formula>NOT(ISERROR(SEARCH($H$11,E374)))</formula>
      <formula>$H$11</formula>
    </cfRule>
    <cfRule type="containsText" dxfId="5977" priority="8082" operator="containsText" text="$H$12">
      <formula>NOT(ISERROR(SEARCH($H$12,E374)))</formula>
      <formula>$H$12</formula>
    </cfRule>
    <cfRule type="containsText" dxfId="5976" priority="8081" operator="containsText" text="$H$13">
      <formula>NOT(ISERROR(SEARCH($H$13,E374)))</formula>
      <formula>$H$13</formula>
    </cfRule>
  </conditionalFormatting>
  <conditionalFormatting sqref="E374">
    <cfRule type="containsText" dxfId="5975" priority="8080" operator="containsText" text="$H$7">
      <formula>NOT(ISERROR(SEARCH($H$7,E374)))</formula>
      <formula>$H$7</formula>
    </cfRule>
    <cfRule type="containsText" dxfId="5974" priority="8079" operator="containsText" text="$H$8">
      <formula>NOT(ISERROR(SEARCH($H$8,E374)))</formula>
      <formula>$H$8</formula>
    </cfRule>
    <cfRule type="containsText" dxfId="5973" priority="8078" operator="containsText" text="$H$8">
      <formula>NOT(ISERROR(SEARCH($H$8,E374)))</formula>
      <formula>$H$8</formula>
    </cfRule>
    <cfRule type="containsText" dxfId="5972" priority="8077" operator="containsText" text="$H$9">
      <formula>NOT(ISERROR(SEARCH($H$9,E374)))</formula>
      <formula>$H$9</formula>
    </cfRule>
    <cfRule type="containsText" dxfId="5971" priority="8076" operator="containsText" text="$H$10">
      <formula>NOT(ISERROR(SEARCH($H$10,E374)))</formula>
      <formula>$H$10</formula>
    </cfRule>
    <cfRule type="containsText" dxfId="5970" priority="8075" operator="containsText" text="$H$11">
      <formula>NOT(ISERROR(SEARCH($H$11,E374)))</formula>
      <formula>$H$11</formula>
    </cfRule>
    <cfRule type="containsText" dxfId="5969" priority="8074" operator="containsText" text="$H$12">
      <formula>NOT(ISERROR(SEARCH($H$12,E374)))</formula>
      <formula>$H$12</formula>
    </cfRule>
    <cfRule type="containsText" dxfId="5968" priority="8073" operator="containsText" text="$H$13">
      <formula>NOT(ISERROR(SEARCH($H$13,E374)))</formula>
      <formula>$H$13</formula>
    </cfRule>
  </conditionalFormatting>
  <conditionalFormatting sqref="E376">
    <cfRule type="containsText" dxfId="5967" priority="8072" operator="containsText" text="$H$7">
      <formula>NOT(ISERROR(SEARCH($H$7,E376)))</formula>
      <formula>$H$7</formula>
    </cfRule>
    <cfRule type="containsText" dxfId="5966" priority="8071" operator="containsText" text="$H$8">
      <formula>NOT(ISERROR(SEARCH($H$8,E376)))</formula>
      <formula>$H$8</formula>
    </cfRule>
    <cfRule type="containsText" dxfId="5965" priority="8070" operator="containsText" text="$H$8">
      <formula>NOT(ISERROR(SEARCH($H$8,E376)))</formula>
      <formula>$H$8</formula>
    </cfRule>
    <cfRule type="containsText" dxfId="5964" priority="8069" operator="containsText" text="$H$9">
      <formula>NOT(ISERROR(SEARCH($H$9,E376)))</formula>
      <formula>$H$9</formula>
    </cfRule>
    <cfRule type="containsText" dxfId="5963" priority="8068" operator="containsText" text="$H$10">
      <formula>NOT(ISERROR(SEARCH($H$10,E376)))</formula>
      <formula>$H$10</formula>
    </cfRule>
    <cfRule type="containsText" dxfId="5962" priority="8067" operator="containsText" text="$H$11">
      <formula>NOT(ISERROR(SEARCH($H$11,E376)))</formula>
      <formula>$H$11</formula>
    </cfRule>
    <cfRule type="containsText" dxfId="5961" priority="8066" operator="containsText" text="$H$12">
      <formula>NOT(ISERROR(SEARCH($H$12,E376)))</formula>
      <formula>$H$12</formula>
    </cfRule>
    <cfRule type="containsText" dxfId="5960" priority="8065" operator="containsText" text="$H$13">
      <formula>NOT(ISERROR(SEARCH($H$13,E376)))</formula>
      <formula>$H$13</formula>
    </cfRule>
  </conditionalFormatting>
  <conditionalFormatting sqref="E376">
    <cfRule type="containsText" dxfId="5959" priority="8064" operator="containsText" text="$H$7">
      <formula>NOT(ISERROR(SEARCH($H$7,E376)))</formula>
      <formula>$H$7</formula>
    </cfRule>
    <cfRule type="containsText" dxfId="5958" priority="8063" operator="containsText" text="$H$8">
      <formula>NOT(ISERROR(SEARCH($H$8,E376)))</formula>
      <formula>$H$8</formula>
    </cfRule>
    <cfRule type="containsText" dxfId="5957" priority="8062" operator="containsText" text="$H$8">
      <formula>NOT(ISERROR(SEARCH($H$8,E376)))</formula>
      <formula>$H$8</formula>
    </cfRule>
    <cfRule type="containsText" dxfId="5956" priority="8061" operator="containsText" text="$H$9">
      <formula>NOT(ISERROR(SEARCH($H$9,E376)))</formula>
      <formula>$H$9</formula>
    </cfRule>
    <cfRule type="containsText" dxfId="5955" priority="8060" operator="containsText" text="$H$10">
      <formula>NOT(ISERROR(SEARCH($H$10,E376)))</formula>
      <formula>$H$10</formula>
    </cfRule>
    <cfRule type="containsText" dxfId="5954" priority="8059" operator="containsText" text="$H$11">
      <formula>NOT(ISERROR(SEARCH($H$11,E376)))</formula>
      <formula>$H$11</formula>
    </cfRule>
    <cfRule type="containsText" dxfId="5953" priority="8058" operator="containsText" text="$H$12">
      <formula>NOT(ISERROR(SEARCH($H$12,E376)))</formula>
      <formula>$H$12</formula>
    </cfRule>
    <cfRule type="containsText" dxfId="5952" priority="8057" operator="containsText" text="$H$13">
      <formula>NOT(ISERROR(SEARCH($H$13,E376)))</formula>
      <formula>$H$13</formula>
    </cfRule>
  </conditionalFormatting>
  <conditionalFormatting sqref="E378">
    <cfRule type="containsText" dxfId="5951" priority="8056" operator="containsText" text="$H$7">
      <formula>NOT(ISERROR(SEARCH($H$7,E378)))</formula>
      <formula>$H$7</formula>
    </cfRule>
    <cfRule type="containsText" dxfId="5950" priority="8055" operator="containsText" text="$H$8">
      <formula>NOT(ISERROR(SEARCH($H$8,E378)))</formula>
      <formula>$H$8</formula>
    </cfRule>
    <cfRule type="containsText" dxfId="5949" priority="8054" operator="containsText" text="$H$8">
      <formula>NOT(ISERROR(SEARCH($H$8,E378)))</formula>
      <formula>$H$8</formula>
    </cfRule>
    <cfRule type="containsText" dxfId="5948" priority="8053" operator="containsText" text="$H$9">
      <formula>NOT(ISERROR(SEARCH($H$9,E378)))</formula>
      <formula>$H$9</formula>
    </cfRule>
    <cfRule type="containsText" dxfId="5947" priority="8052" operator="containsText" text="$H$10">
      <formula>NOT(ISERROR(SEARCH($H$10,E378)))</formula>
      <formula>$H$10</formula>
    </cfRule>
    <cfRule type="containsText" dxfId="5946" priority="8051" operator="containsText" text="$H$11">
      <formula>NOT(ISERROR(SEARCH($H$11,E378)))</formula>
      <formula>$H$11</formula>
    </cfRule>
    <cfRule type="containsText" dxfId="5945" priority="8050" operator="containsText" text="$H$12">
      <formula>NOT(ISERROR(SEARCH($H$12,E378)))</formula>
      <formula>$H$12</formula>
    </cfRule>
    <cfRule type="containsText" dxfId="5944" priority="8049" operator="containsText" text="$H$13">
      <formula>NOT(ISERROR(SEARCH($H$13,E378)))</formula>
      <formula>$H$13</formula>
    </cfRule>
  </conditionalFormatting>
  <conditionalFormatting sqref="E378">
    <cfRule type="containsText" dxfId="5943" priority="8048" operator="containsText" text="$H$7">
      <formula>NOT(ISERROR(SEARCH($H$7,E378)))</formula>
      <formula>$H$7</formula>
    </cfRule>
    <cfRule type="containsText" dxfId="5942" priority="8047" operator="containsText" text="$H$8">
      <formula>NOT(ISERROR(SEARCH($H$8,E378)))</formula>
      <formula>$H$8</formula>
    </cfRule>
    <cfRule type="containsText" dxfId="5941" priority="8046" operator="containsText" text="$H$8">
      <formula>NOT(ISERROR(SEARCH($H$8,E378)))</formula>
      <formula>$H$8</formula>
    </cfRule>
    <cfRule type="containsText" dxfId="5940" priority="8045" operator="containsText" text="$H$9">
      <formula>NOT(ISERROR(SEARCH($H$9,E378)))</formula>
      <formula>$H$9</formula>
    </cfRule>
    <cfRule type="containsText" dxfId="5939" priority="8044" operator="containsText" text="$H$10">
      <formula>NOT(ISERROR(SEARCH($H$10,E378)))</formula>
      <formula>$H$10</formula>
    </cfRule>
    <cfRule type="containsText" dxfId="5938" priority="8043" operator="containsText" text="$H$11">
      <formula>NOT(ISERROR(SEARCH($H$11,E378)))</formula>
      <formula>$H$11</formula>
    </cfRule>
    <cfRule type="containsText" dxfId="5937" priority="8042" operator="containsText" text="$H$12">
      <formula>NOT(ISERROR(SEARCH($H$12,E378)))</formula>
      <formula>$H$12</formula>
    </cfRule>
    <cfRule type="containsText" dxfId="5936" priority="8041" operator="containsText" text="$H$13">
      <formula>NOT(ISERROR(SEARCH($H$13,E378)))</formula>
      <formula>$H$13</formula>
    </cfRule>
  </conditionalFormatting>
  <conditionalFormatting sqref="E380">
    <cfRule type="containsText" dxfId="5935" priority="8040" operator="containsText" text="$H$7">
      <formula>NOT(ISERROR(SEARCH($H$7,E380)))</formula>
      <formula>$H$7</formula>
    </cfRule>
    <cfRule type="containsText" dxfId="5934" priority="8039" operator="containsText" text="$H$8">
      <formula>NOT(ISERROR(SEARCH($H$8,E380)))</formula>
      <formula>$H$8</formula>
    </cfRule>
    <cfRule type="containsText" dxfId="5933" priority="8038" operator="containsText" text="$H$8">
      <formula>NOT(ISERROR(SEARCH($H$8,E380)))</formula>
      <formula>$H$8</formula>
    </cfRule>
    <cfRule type="containsText" dxfId="5932" priority="8037" operator="containsText" text="$H$9">
      <formula>NOT(ISERROR(SEARCH($H$9,E380)))</formula>
      <formula>$H$9</formula>
    </cfRule>
    <cfRule type="containsText" dxfId="5931" priority="8036" operator="containsText" text="$H$10">
      <formula>NOT(ISERROR(SEARCH($H$10,E380)))</formula>
      <formula>$H$10</formula>
    </cfRule>
    <cfRule type="containsText" dxfId="5930" priority="8035" operator="containsText" text="$H$11">
      <formula>NOT(ISERROR(SEARCH($H$11,E380)))</formula>
      <formula>$H$11</formula>
    </cfRule>
    <cfRule type="containsText" dxfId="5929" priority="8034" operator="containsText" text="$H$12">
      <formula>NOT(ISERROR(SEARCH($H$12,E380)))</formula>
      <formula>$H$12</formula>
    </cfRule>
    <cfRule type="containsText" dxfId="5928" priority="8033" operator="containsText" text="$H$13">
      <formula>NOT(ISERROR(SEARCH($H$13,E380)))</formula>
      <formula>$H$13</formula>
    </cfRule>
  </conditionalFormatting>
  <conditionalFormatting sqref="E380">
    <cfRule type="containsText" dxfId="5927" priority="8032" operator="containsText" text="$H$7">
      <formula>NOT(ISERROR(SEARCH($H$7,E380)))</formula>
      <formula>$H$7</formula>
    </cfRule>
    <cfRule type="containsText" dxfId="5926" priority="8031" operator="containsText" text="$H$8">
      <formula>NOT(ISERROR(SEARCH($H$8,E380)))</formula>
      <formula>$H$8</formula>
    </cfRule>
    <cfRule type="containsText" dxfId="5925" priority="8030" operator="containsText" text="$H$8">
      <formula>NOT(ISERROR(SEARCH($H$8,E380)))</formula>
      <formula>$H$8</formula>
    </cfRule>
    <cfRule type="containsText" dxfId="5924" priority="8029" operator="containsText" text="$H$9">
      <formula>NOT(ISERROR(SEARCH($H$9,E380)))</formula>
      <formula>$H$9</formula>
    </cfRule>
    <cfRule type="containsText" dxfId="5923" priority="8028" operator="containsText" text="$H$10">
      <formula>NOT(ISERROR(SEARCH($H$10,E380)))</formula>
      <formula>$H$10</formula>
    </cfRule>
    <cfRule type="containsText" dxfId="5922" priority="8027" operator="containsText" text="$H$11">
      <formula>NOT(ISERROR(SEARCH($H$11,E380)))</formula>
      <formula>$H$11</formula>
    </cfRule>
    <cfRule type="containsText" dxfId="5921" priority="8026" operator="containsText" text="$H$12">
      <formula>NOT(ISERROR(SEARCH($H$12,E380)))</formula>
      <formula>$H$12</formula>
    </cfRule>
    <cfRule type="containsText" dxfId="5920" priority="8025" operator="containsText" text="$H$13">
      <formula>NOT(ISERROR(SEARCH($H$13,E380)))</formula>
      <formula>$H$13</formula>
    </cfRule>
  </conditionalFormatting>
  <conditionalFormatting sqref="B338 B340 B342 B344">
    <cfRule type="containsText" dxfId="5919" priority="8024" operator="containsText" text="$H$7">
      <formula>NOT(ISERROR(SEARCH($H$7,B338)))</formula>
      <formula>$H$7</formula>
    </cfRule>
    <cfRule type="containsText" dxfId="5918" priority="8023" operator="containsText" text="$H$8">
      <formula>NOT(ISERROR(SEARCH($H$8,B338)))</formula>
      <formula>$H$8</formula>
    </cfRule>
    <cfRule type="containsText" dxfId="5917" priority="8022" operator="containsText" text="$H$8">
      <formula>NOT(ISERROR(SEARCH($H$8,B338)))</formula>
      <formula>$H$8</formula>
    </cfRule>
    <cfRule type="containsText" dxfId="5916" priority="8021" operator="containsText" text="$H$9">
      <formula>NOT(ISERROR(SEARCH($H$9,B338)))</formula>
      <formula>$H$9</formula>
    </cfRule>
    <cfRule type="containsText" dxfId="5915" priority="8020" operator="containsText" text="$H$10">
      <formula>NOT(ISERROR(SEARCH($H$10,B338)))</formula>
      <formula>$H$10</formula>
    </cfRule>
    <cfRule type="containsText" dxfId="5914" priority="8019" operator="containsText" text="$H$11">
      <formula>NOT(ISERROR(SEARCH($H$11,B338)))</formula>
      <formula>$H$11</formula>
    </cfRule>
    <cfRule type="containsText" dxfId="5913" priority="8018" operator="containsText" text="$H$12">
      <formula>NOT(ISERROR(SEARCH($H$12,B338)))</formula>
      <formula>$H$12</formula>
    </cfRule>
    <cfRule type="containsText" dxfId="5912" priority="8017" operator="containsText" text="$H$13">
      <formula>NOT(ISERROR(SEARCH($H$13,B338)))</formula>
      <formula>$H$13</formula>
    </cfRule>
  </conditionalFormatting>
  <conditionalFormatting sqref="C338 C344 C342 C340">
    <cfRule type="containsText" dxfId="5911" priority="8016" operator="containsText" text="$H$7">
      <formula>NOT(ISERROR(SEARCH($H$7,C338)))</formula>
      <formula>$H$7</formula>
    </cfRule>
    <cfRule type="containsText" dxfId="5910" priority="8015" operator="containsText" text="$H$8">
      <formula>NOT(ISERROR(SEARCH($H$8,C338)))</formula>
      <formula>$H$8</formula>
    </cfRule>
    <cfRule type="containsText" dxfId="5909" priority="8014" operator="containsText" text="$H$8">
      <formula>NOT(ISERROR(SEARCH($H$8,C338)))</formula>
      <formula>$H$8</formula>
    </cfRule>
    <cfRule type="containsText" dxfId="5908" priority="8013" operator="containsText" text="$H$9">
      <formula>NOT(ISERROR(SEARCH($H$9,C338)))</formula>
      <formula>$H$9</formula>
    </cfRule>
    <cfRule type="containsText" dxfId="5907" priority="8012" operator="containsText" text="$H$10">
      <formula>NOT(ISERROR(SEARCH($H$10,C338)))</formula>
      <formula>$H$10</formula>
    </cfRule>
    <cfRule type="containsText" dxfId="5906" priority="8011" operator="containsText" text="$H$11">
      <formula>NOT(ISERROR(SEARCH($H$11,C338)))</formula>
      <formula>$H$11</formula>
    </cfRule>
    <cfRule type="containsText" dxfId="5905" priority="8010" operator="containsText" text="$H$12">
      <formula>NOT(ISERROR(SEARCH($H$12,C338)))</formula>
      <formula>$H$12</formula>
    </cfRule>
    <cfRule type="containsText" dxfId="5904" priority="8009" operator="containsText" text="$H$13">
      <formula>NOT(ISERROR(SEARCH($H$13,C338)))</formula>
      <formula>$H$13</formula>
    </cfRule>
  </conditionalFormatting>
  <conditionalFormatting sqref="C338 C344 C342 C340">
    <cfRule type="containsText" dxfId="5903" priority="8008" operator="containsText" text="$H$7">
      <formula>NOT(ISERROR(SEARCH($H$7,C338)))</formula>
      <formula>$H$7</formula>
    </cfRule>
    <cfRule type="containsText" dxfId="5902" priority="8007" operator="containsText" text="$H$8">
      <formula>NOT(ISERROR(SEARCH($H$8,C338)))</formula>
      <formula>$H$8</formula>
    </cfRule>
    <cfRule type="containsText" dxfId="5901" priority="8006" operator="containsText" text="$H$8">
      <formula>NOT(ISERROR(SEARCH($H$8,C338)))</formula>
      <formula>$H$8</formula>
    </cfRule>
    <cfRule type="containsText" dxfId="5900" priority="8005" operator="containsText" text="$H$9">
      <formula>NOT(ISERROR(SEARCH($H$9,C338)))</formula>
      <formula>$H$9</formula>
    </cfRule>
    <cfRule type="containsText" dxfId="5899" priority="8004" operator="containsText" text="$H$10">
      <formula>NOT(ISERROR(SEARCH($H$10,C338)))</formula>
      <formula>$H$10</formula>
    </cfRule>
    <cfRule type="containsText" dxfId="5898" priority="8003" operator="containsText" text="$H$11">
      <formula>NOT(ISERROR(SEARCH($H$11,C338)))</formula>
      <formula>$H$11</formula>
    </cfRule>
    <cfRule type="containsText" dxfId="5897" priority="8002" operator="containsText" text="$H$12">
      <formula>NOT(ISERROR(SEARCH($H$12,C338)))</formula>
      <formula>$H$12</formula>
    </cfRule>
    <cfRule type="containsText" dxfId="5896" priority="8001" operator="containsText" text="$H$13">
      <formula>NOT(ISERROR(SEARCH($H$13,C338)))</formula>
      <formula>$H$13</formula>
    </cfRule>
  </conditionalFormatting>
  <conditionalFormatting sqref="B320:B327">
    <cfRule type="containsText" dxfId="5895" priority="8000" operator="containsText" text="$H$7">
      <formula>NOT(ISERROR(SEARCH($H$7,B320)))</formula>
      <formula>$H$7</formula>
    </cfRule>
    <cfRule type="containsText" dxfId="5894" priority="7999" operator="containsText" text="$H$8">
      <formula>NOT(ISERROR(SEARCH($H$8,B320)))</formula>
      <formula>$H$8</formula>
    </cfRule>
    <cfRule type="containsText" dxfId="5893" priority="7998" operator="containsText" text="$H$8">
      <formula>NOT(ISERROR(SEARCH($H$8,B320)))</formula>
      <formula>$H$8</formula>
    </cfRule>
    <cfRule type="containsText" dxfId="5892" priority="7997" operator="containsText" text="$H$9">
      <formula>NOT(ISERROR(SEARCH($H$9,B320)))</formula>
      <formula>$H$9</formula>
    </cfRule>
    <cfRule type="containsText" dxfId="5891" priority="7996" operator="containsText" text="$H$10">
      <formula>NOT(ISERROR(SEARCH($H$10,B320)))</formula>
      <formula>$H$10</formula>
    </cfRule>
    <cfRule type="containsText" dxfId="5890" priority="7995" operator="containsText" text="$H$11">
      <formula>NOT(ISERROR(SEARCH($H$11,B320)))</formula>
      <formula>$H$11</formula>
    </cfRule>
    <cfRule type="containsText" dxfId="5889" priority="7994" operator="containsText" text="$H$12">
      <formula>NOT(ISERROR(SEARCH($H$12,B320)))</formula>
      <formula>$H$12</formula>
    </cfRule>
    <cfRule type="containsText" dxfId="5888" priority="7993" operator="containsText" text="$H$13">
      <formula>NOT(ISERROR(SEARCH($H$13,B320)))</formula>
      <formula>$H$13</formula>
    </cfRule>
  </conditionalFormatting>
  <conditionalFormatting sqref="C320:C327">
    <cfRule type="containsText" dxfId="5887" priority="7992" operator="containsText" text="$H$7">
      <formula>NOT(ISERROR(SEARCH($H$7,C320)))</formula>
      <formula>$H$7</formula>
    </cfRule>
    <cfRule type="containsText" dxfId="5886" priority="7991" operator="containsText" text="$H$8">
      <formula>NOT(ISERROR(SEARCH($H$8,C320)))</formula>
      <formula>$H$8</formula>
    </cfRule>
    <cfRule type="containsText" dxfId="5885" priority="7990" operator="containsText" text="$H$8">
      <formula>NOT(ISERROR(SEARCH($H$8,C320)))</formula>
      <formula>$H$8</formula>
    </cfRule>
    <cfRule type="containsText" dxfId="5884" priority="7989" operator="containsText" text="$H$9">
      <formula>NOT(ISERROR(SEARCH($H$9,C320)))</formula>
      <formula>$H$9</formula>
    </cfRule>
    <cfRule type="containsText" dxfId="5883" priority="7988" operator="containsText" text="$H$10">
      <formula>NOT(ISERROR(SEARCH($H$10,C320)))</formula>
      <formula>$H$10</formula>
    </cfRule>
    <cfRule type="containsText" dxfId="5882" priority="7987" operator="containsText" text="$H$11">
      <formula>NOT(ISERROR(SEARCH($H$11,C320)))</formula>
      <formula>$H$11</formula>
    </cfRule>
    <cfRule type="containsText" dxfId="5881" priority="7986" operator="containsText" text="$H$12">
      <formula>NOT(ISERROR(SEARCH($H$12,C320)))</formula>
      <formula>$H$12</formula>
    </cfRule>
    <cfRule type="containsText" dxfId="5880" priority="7985" operator="containsText" text="$H$13">
      <formula>NOT(ISERROR(SEARCH($H$13,C320)))</formula>
      <formula>$H$13</formula>
    </cfRule>
  </conditionalFormatting>
  <conditionalFormatting sqref="C320:C327">
    <cfRule type="containsText" dxfId="5879" priority="7984" operator="containsText" text="$H$7">
      <formula>NOT(ISERROR(SEARCH($H$7,C320)))</formula>
      <formula>$H$7</formula>
    </cfRule>
    <cfRule type="containsText" dxfId="5878" priority="7983" operator="containsText" text="$H$8">
      <formula>NOT(ISERROR(SEARCH($H$8,C320)))</formula>
      <formula>$H$8</formula>
    </cfRule>
    <cfRule type="containsText" dxfId="5877" priority="7982" operator="containsText" text="$H$8">
      <formula>NOT(ISERROR(SEARCH($H$8,C320)))</formula>
      <formula>$H$8</formula>
    </cfRule>
    <cfRule type="containsText" dxfId="5876" priority="7981" operator="containsText" text="$H$9">
      <formula>NOT(ISERROR(SEARCH($H$9,C320)))</formula>
      <formula>$H$9</formula>
    </cfRule>
    <cfRule type="containsText" dxfId="5875" priority="7980" operator="containsText" text="$H$10">
      <formula>NOT(ISERROR(SEARCH($H$10,C320)))</formula>
      <formula>$H$10</formula>
    </cfRule>
    <cfRule type="containsText" dxfId="5874" priority="7979" operator="containsText" text="$H$11">
      <formula>NOT(ISERROR(SEARCH($H$11,C320)))</formula>
      <formula>$H$11</formula>
    </cfRule>
    <cfRule type="containsText" dxfId="5873" priority="7978" operator="containsText" text="$H$12">
      <formula>NOT(ISERROR(SEARCH($H$12,C320)))</formula>
      <formula>$H$12</formula>
    </cfRule>
    <cfRule type="containsText" dxfId="5872" priority="7977" operator="containsText" text="$H$13">
      <formula>NOT(ISERROR(SEARCH($H$13,C320)))</formula>
      <formula>$H$13</formula>
    </cfRule>
  </conditionalFormatting>
  <conditionalFormatting sqref="E320 E322 E324 E326">
    <cfRule type="containsText" dxfId="5871" priority="7976" operator="containsText" text="$H$7">
      <formula>NOT(ISERROR(SEARCH($H$7,E320)))</formula>
      <formula>$H$7</formula>
    </cfRule>
    <cfRule type="containsText" dxfId="5870" priority="7975" operator="containsText" text="$H$8">
      <formula>NOT(ISERROR(SEARCH($H$8,E320)))</formula>
      <formula>$H$8</formula>
    </cfRule>
    <cfRule type="containsText" dxfId="5869" priority="7974" operator="containsText" text="$H$8">
      <formula>NOT(ISERROR(SEARCH($H$8,E320)))</formula>
      <formula>$H$8</formula>
    </cfRule>
    <cfRule type="containsText" dxfId="5868" priority="7973" operator="containsText" text="$H$9">
      <formula>NOT(ISERROR(SEARCH($H$9,E320)))</formula>
      <formula>$H$9</formula>
    </cfRule>
    <cfRule type="containsText" dxfId="5867" priority="7972" operator="containsText" text="$H$10">
      <formula>NOT(ISERROR(SEARCH($H$10,E320)))</formula>
      <formula>$H$10</formula>
    </cfRule>
    <cfRule type="containsText" dxfId="5866" priority="7971" operator="containsText" text="$H$11">
      <formula>NOT(ISERROR(SEARCH($H$11,E320)))</formula>
      <formula>$H$11</formula>
    </cfRule>
    <cfRule type="containsText" dxfId="5865" priority="7970" operator="containsText" text="$H$12">
      <formula>NOT(ISERROR(SEARCH($H$12,E320)))</formula>
      <formula>$H$12</formula>
    </cfRule>
    <cfRule type="containsText" dxfId="5864" priority="7969" operator="containsText" text="$H$13">
      <formula>NOT(ISERROR(SEARCH($H$13,E320)))</formula>
      <formula>$H$13</formula>
    </cfRule>
  </conditionalFormatting>
  <conditionalFormatting sqref="E320 E322 E324 E326">
    <cfRule type="containsText" dxfId="5863" priority="7968" operator="containsText" text="$H$7">
      <formula>NOT(ISERROR(SEARCH($H$7,E320)))</formula>
      <formula>$H$7</formula>
    </cfRule>
    <cfRule type="containsText" dxfId="5862" priority="7967" operator="containsText" text="$H$8">
      <formula>NOT(ISERROR(SEARCH($H$8,E320)))</formula>
      <formula>$H$8</formula>
    </cfRule>
    <cfRule type="containsText" dxfId="5861" priority="7966" operator="containsText" text="$H$8">
      <formula>NOT(ISERROR(SEARCH($H$8,E320)))</formula>
      <formula>$H$8</formula>
    </cfRule>
    <cfRule type="containsText" dxfId="5860" priority="7965" operator="containsText" text="$H$9">
      <formula>NOT(ISERROR(SEARCH($H$9,E320)))</formula>
      <formula>$H$9</formula>
    </cfRule>
    <cfRule type="containsText" dxfId="5859" priority="7964" operator="containsText" text="$H$10">
      <formula>NOT(ISERROR(SEARCH($H$10,E320)))</formula>
      <formula>$H$10</formula>
    </cfRule>
    <cfRule type="containsText" dxfId="5858" priority="7963" operator="containsText" text="$H$11">
      <formula>NOT(ISERROR(SEARCH($H$11,E320)))</formula>
      <formula>$H$11</formula>
    </cfRule>
    <cfRule type="containsText" dxfId="5857" priority="7962" operator="containsText" text="$H$12">
      <formula>NOT(ISERROR(SEARCH($H$12,E320)))</formula>
      <formula>$H$12</formula>
    </cfRule>
    <cfRule type="containsText" dxfId="5856" priority="7961" operator="containsText" text="$H$13">
      <formula>NOT(ISERROR(SEARCH($H$13,E320)))</formula>
      <formula>$H$13</formula>
    </cfRule>
  </conditionalFormatting>
  <conditionalFormatting sqref="E338 E340 E342 E344">
    <cfRule type="containsText" dxfId="5855" priority="7960" operator="containsText" text="$H$7">
      <formula>NOT(ISERROR(SEARCH($H$7,E338)))</formula>
      <formula>$H$7</formula>
    </cfRule>
    <cfRule type="containsText" dxfId="5854" priority="7959" operator="containsText" text="$H$8">
      <formula>NOT(ISERROR(SEARCH($H$8,E338)))</formula>
      <formula>$H$8</formula>
    </cfRule>
    <cfRule type="containsText" dxfId="5853" priority="7958" operator="containsText" text="$H$8">
      <formula>NOT(ISERROR(SEARCH($H$8,E338)))</formula>
      <formula>$H$8</formula>
    </cfRule>
    <cfRule type="containsText" dxfId="5852" priority="7957" operator="containsText" text="$H$9">
      <formula>NOT(ISERROR(SEARCH($H$9,E338)))</formula>
      <formula>$H$9</formula>
    </cfRule>
    <cfRule type="containsText" dxfId="5851" priority="7956" operator="containsText" text="$H$10">
      <formula>NOT(ISERROR(SEARCH($H$10,E338)))</formula>
      <formula>$H$10</formula>
    </cfRule>
    <cfRule type="containsText" dxfId="5850" priority="7955" operator="containsText" text="$H$11">
      <formula>NOT(ISERROR(SEARCH($H$11,E338)))</formula>
      <formula>$H$11</formula>
    </cfRule>
    <cfRule type="containsText" dxfId="5849" priority="7954" operator="containsText" text="$H$12">
      <formula>NOT(ISERROR(SEARCH($H$12,E338)))</formula>
      <formula>$H$12</formula>
    </cfRule>
    <cfRule type="containsText" dxfId="5848" priority="7953" operator="containsText" text="$H$13">
      <formula>NOT(ISERROR(SEARCH($H$13,E338)))</formula>
      <formula>$H$13</formula>
    </cfRule>
  </conditionalFormatting>
  <conditionalFormatting sqref="E338 E340 E342 E344">
    <cfRule type="containsText" dxfId="5847" priority="7952" operator="containsText" text="$H$7">
      <formula>NOT(ISERROR(SEARCH($H$7,E338)))</formula>
      <formula>$H$7</formula>
    </cfRule>
    <cfRule type="containsText" dxfId="5846" priority="7951" operator="containsText" text="$H$8">
      <formula>NOT(ISERROR(SEARCH($H$8,E338)))</formula>
      <formula>$H$8</formula>
    </cfRule>
    <cfRule type="containsText" dxfId="5845" priority="7950" operator="containsText" text="$H$8">
      <formula>NOT(ISERROR(SEARCH($H$8,E338)))</formula>
      <formula>$H$8</formula>
    </cfRule>
    <cfRule type="containsText" dxfId="5844" priority="7949" operator="containsText" text="$H$9">
      <formula>NOT(ISERROR(SEARCH($H$9,E338)))</formula>
      <formula>$H$9</formula>
    </cfRule>
    <cfRule type="containsText" dxfId="5843" priority="7948" operator="containsText" text="$H$10">
      <formula>NOT(ISERROR(SEARCH($H$10,E338)))</formula>
      <formula>$H$10</formula>
    </cfRule>
    <cfRule type="containsText" dxfId="5842" priority="7947" operator="containsText" text="$H$11">
      <formula>NOT(ISERROR(SEARCH($H$11,E338)))</formula>
      <formula>$H$11</formula>
    </cfRule>
    <cfRule type="containsText" dxfId="5841" priority="7946" operator="containsText" text="$H$12">
      <formula>NOT(ISERROR(SEARCH($H$12,E338)))</formula>
      <formula>$H$12</formula>
    </cfRule>
    <cfRule type="containsText" dxfId="5840" priority="7945" operator="containsText" text="$H$13">
      <formula>NOT(ISERROR(SEARCH($H$13,E338)))</formula>
      <formula>$H$13</formula>
    </cfRule>
  </conditionalFormatting>
  <conditionalFormatting sqref="B348 B350 B352 B354">
    <cfRule type="containsText" dxfId="5839" priority="7944" operator="containsText" text="$H$7">
      <formula>NOT(ISERROR(SEARCH($H$7,B348)))</formula>
      <formula>$H$7</formula>
    </cfRule>
    <cfRule type="containsText" dxfId="5838" priority="7943" operator="containsText" text="$H$8">
      <formula>NOT(ISERROR(SEARCH($H$8,B348)))</formula>
      <formula>$H$8</formula>
    </cfRule>
    <cfRule type="containsText" dxfId="5837" priority="7942" operator="containsText" text="$H$8">
      <formula>NOT(ISERROR(SEARCH($H$8,B348)))</formula>
      <formula>$H$8</formula>
    </cfRule>
    <cfRule type="containsText" dxfId="5836" priority="7941" operator="containsText" text="$H$9">
      <formula>NOT(ISERROR(SEARCH($H$9,B348)))</formula>
      <formula>$H$9</formula>
    </cfRule>
    <cfRule type="containsText" dxfId="5835" priority="7940" operator="containsText" text="$H$10">
      <formula>NOT(ISERROR(SEARCH($H$10,B348)))</formula>
      <formula>$H$10</formula>
    </cfRule>
    <cfRule type="containsText" dxfId="5834" priority="7939" operator="containsText" text="$H$11">
      <formula>NOT(ISERROR(SEARCH($H$11,B348)))</formula>
      <formula>$H$11</formula>
    </cfRule>
    <cfRule type="containsText" dxfId="5833" priority="7938" operator="containsText" text="$H$12">
      <formula>NOT(ISERROR(SEARCH($H$12,B348)))</formula>
      <formula>$H$12</formula>
    </cfRule>
    <cfRule type="containsText" dxfId="5832" priority="7937" operator="containsText" text="$H$13">
      <formula>NOT(ISERROR(SEARCH($H$13,B348)))</formula>
      <formula>$H$13</formula>
    </cfRule>
  </conditionalFormatting>
  <conditionalFormatting sqref="D356 D358 D360 D362">
    <cfRule type="containsText" dxfId="5831" priority="7936" operator="containsText" text="$H$7">
      <formula>NOT(ISERROR(SEARCH($H$7,D356)))</formula>
      <formula>$H$7</formula>
    </cfRule>
    <cfRule type="containsText" dxfId="5830" priority="7935" operator="containsText" text="$H$8">
      <formula>NOT(ISERROR(SEARCH($H$8,D356)))</formula>
      <formula>$H$8</formula>
    </cfRule>
    <cfRule type="containsText" dxfId="5829" priority="7934" operator="containsText" text="$H$8">
      <formula>NOT(ISERROR(SEARCH($H$8,D356)))</formula>
      <formula>$H$8</formula>
    </cfRule>
    <cfRule type="containsText" dxfId="5828" priority="7933" operator="containsText" text="$H$9">
      <formula>NOT(ISERROR(SEARCH($H$9,D356)))</formula>
      <formula>$H$9</formula>
    </cfRule>
    <cfRule type="containsText" dxfId="5827" priority="7932" operator="containsText" text="$H$10">
      <formula>NOT(ISERROR(SEARCH($H$10,D356)))</formula>
      <formula>$H$10</formula>
    </cfRule>
    <cfRule type="containsText" dxfId="5826" priority="7931" operator="containsText" text="$H$11">
      <formula>NOT(ISERROR(SEARCH($H$11,D356)))</formula>
      <formula>$H$11</formula>
    </cfRule>
    <cfRule type="containsText" dxfId="5825" priority="7930" operator="containsText" text="$H$12">
      <formula>NOT(ISERROR(SEARCH($H$12,D356)))</formula>
      <formula>$H$12</formula>
    </cfRule>
    <cfRule type="containsText" dxfId="5824" priority="7929" operator="containsText" text="$H$13">
      <formula>NOT(ISERROR(SEARCH($H$13,D356)))</formula>
      <formula>$H$13</formula>
    </cfRule>
  </conditionalFormatting>
  <conditionalFormatting sqref="E356 E362 E360 E358">
    <cfRule type="containsText" dxfId="5823" priority="7928" operator="containsText" text="$H$7">
      <formula>NOT(ISERROR(SEARCH($H$7,E356)))</formula>
      <formula>$H$7</formula>
    </cfRule>
    <cfRule type="containsText" dxfId="5822" priority="7927" operator="containsText" text="$H$8">
      <formula>NOT(ISERROR(SEARCH($H$8,E356)))</formula>
      <formula>$H$8</formula>
    </cfRule>
    <cfRule type="containsText" dxfId="5821" priority="7926" operator="containsText" text="$H$8">
      <formula>NOT(ISERROR(SEARCH($H$8,E356)))</formula>
      <formula>$H$8</formula>
    </cfRule>
    <cfRule type="containsText" dxfId="5820" priority="7925" operator="containsText" text="$H$9">
      <formula>NOT(ISERROR(SEARCH($H$9,E356)))</formula>
      <formula>$H$9</formula>
    </cfRule>
    <cfRule type="containsText" dxfId="5819" priority="7924" operator="containsText" text="$H$10">
      <formula>NOT(ISERROR(SEARCH($H$10,E356)))</formula>
      <formula>$H$10</formula>
    </cfRule>
    <cfRule type="containsText" dxfId="5818" priority="7923" operator="containsText" text="$H$11">
      <formula>NOT(ISERROR(SEARCH($H$11,E356)))</formula>
      <formula>$H$11</formula>
    </cfRule>
    <cfRule type="containsText" dxfId="5817" priority="7922" operator="containsText" text="$H$12">
      <formula>NOT(ISERROR(SEARCH($H$12,E356)))</formula>
      <formula>$H$12</formula>
    </cfRule>
    <cfRule type="containsText" dxfId="5816" priority="7921" operator="containsText" text="$H$13">
      <formula>NOT(ISERROR(SEARCH($H$13,E356)))</formula>
      <formula>$H$13</formula>
    </cfRule>
  </conditionalFormatting>
  <conditionalFormatting sqref="E356 E362 E360 E358">
    <cfRule type="containsText" dxfId="5815" priority="7920" operator="containsText" text="$H$7">
      <formula>NOT(ISERROR(SEARCH($H$7,E356)))</formula>
      <formula>$H$7</formula>
    </cfRule>
    <cfRule type="containsText" dxfId="5814" priority="7919" operator="containsText" text="$H$8">
      <formula>NOT(ISERROR(SEARCH($H$8,E356)))</formula>
      <formula>$H$8</formula>
    </cfRule>
    <cfRule type="containsText" dxfId="5813" priority="7918" operator="containsText" text="$H$8">
      <formula>NOT(ISERROR(SEARCH($H$8,E356)))</formula>
      <formula>$H$8</formula>
    </cfRule>
    <cfRule type="containsText" dxfId="5812" priority="7917" operator="containsText" text="$H$9">
      <formula>NOT(ISERROR(SEARCH($H$9,E356)))</formula>
      <formula>$H$9</formula>
    </cfRule>
    <cfRule type="containsText" dxfId="5811" priority="7916" operator="containsText" text="$H$10">
      <formula>NOT(ISERROR(SEARCH($H$10,E356)))</formula>
      <formula>$H$10</formula>
    </cfRule>
    <cfRule type="containsText" dxfId="5810" priority="7915" operator="containsText" text="$H$11">
      <formula>NOT(ISERROR(SEARCH($H$11,E356)))</formula>
      <formula>$H$11</formula>
    </cfRule>
    <cfRule type="containsText" dxfId="5809" priority="7914" operator="containsText" text="$H$12">
      <formula>NOT(ISERROR(SEARCH($H$12,E356)))</formula>
      <formula>$H$12</formula>
    </cfRule>
    <cfRule type="containsText" dxfId="5808" priority="7913" operator="containsText" text="$H$13">
      <formula>NOT(ISERROR(SEARCH($H$13,E356)))</formula>
      <formula>$H$13</formula>
    </cfRule>
  </conditionalFormatting>
  <conditionalFormatting sqref="C374 C380 C378 C376">
    <cfRule type="containsText" dxfId="5807" priority="7912" operator="containsText" text="$H$7">
      <formula>NOT(ISERROR(SEARCH($H$7,C374)))</formula>
      <formula>$H$7</formula>
    </cfRule>
    <cfRule type="containsText" dxfId="5806" priority="7911" operator="containsText" text="$H$8">
      <formula>NOT(ISERROR(SEARCH($H$8,C374)))</formula>
      <formula>$H$8</formula>
    </cfRule>
    <cfRule type="containsText" dxfId="5805" priority="7910" operator="containsText" text="$H$8">
      <formula>NOT(ISERROR(SEARCH($H$8,C374)))</formula>
      <formula>$H$8</formula>
    </cfRule>
    <cfRule type="containsText" dxfId="5804" priority="7909" operator="containsText" text="$H$9">
      <formula>NOT(ISERROR(SEARCH($H$9,C374)))</formula>
      <formula>$H$9</formula>
    </cfRule>
    <cfRule type="containsText" dxfId="5803" priority="7908" operator="containsText" text="$H$10">
      <formula>NOT(ISERROR(SEARCH($H$10,C374)))</formula>
      <formula>$H$10</formula>
    </cfRule>
    <cfRule type="containsText" dxfId="5802" priority="7907" operator="containsText" text="$H$11">
      <formula>NOT(ISERROR(SEARCH($H$11,C374)))</formula>
      <formula>$H$11</formula>
    </cfRule>
    <cfRule type="containsText" dxfId="5801" priority="7906" operator="containsText" text="$H$12">
      <formula>NOT(ISERROR(SEARCH($H$12,C374)))</formula>
      <formula>$H$12</formula>
    </cfRule>
    <cfRule type="containsText" dxfId="5800" priority="7905" operator="containsText" text="$H$13">
      <formula>NOT(ISERROR(SEARCH($H$13,C374)))</formula>
      <formula>$H$13</formula>
    </cfRule>
  </conditionalFormatting>
  <conditionalFormatting sqref="F301">
    <cfRule type="containsText" dxfId="5799" priority="7896" operator="containsText" text="$H$7">
      <formula>NOT(ISERROR(SEARCH($H$7,F301)))</formula>
      <formula>$H$7</formula>
    </cfRule>
    <cfRule type="containsText" dxfId="5798" priority="7895" operator="containsText" text="$H$8">
      <formula>NOT(ISERROR(SEARCH($H$8,F301)))</formula>
      <formula>$H$8</formula>
    </cfRule>
    <cfRule type="containsText" dxfId="5797" priority="7894" operator="containsText" text="$H$8">
      <formula>NOT(ISERROR(SEARCH($H$8,F301)))</formula>
      <formula>$H$8</formula>
    </cfRule>
    <cfRule type="containsText" dxfId="5796" priority="7893" operator="containsText" text="$H$9">
      <formula>NOT(ISERROR(SEARCH($H$9,F301)))</formula>
      <formula>$H$9</formula>
    </cfRule>
    <cfRule type="containsText" dxfId="5795" priority="7892" operator="containsText" text="$H$10">
      <formula>NOT(ISERROR(SEARCH($H$10,F301)))</formula>
      <formula>$H$10</formula>
    </cfRule>
    <cfRule type="containsText" dxfId="5794" priority="7891" operator="containsText" text="$H$11">
      <formula>NOT(ISERROR(SEARCH($H$11,F301)))</formula>
      <formula>$H$11</formula>
    </cfRule>
    <cfRule type="containsText" dxfId="5793" priority="7890" operator="containsText" text="$H$12">
      <formula>NOT(ISERROR(SEARCH($H$12,F301)))</formula>
      <formula>$H$12</formula>
    </cfRule>
    <cfRule type="containsText" dxfId="5792" priority="7889" operator="containsText" text="$H$13">
      <formula>NOT(ISERROR(SEARCH($H$13,F301)))</formula>
      <formula>$H$13</formula>
    </cfRule>
  </conditionalFormatting>
  <conditionalFormatting sqref="F301">
    <cfRule type="containsText" dxfId="5791" priority="7904" operator="containsText" text="$H$7">
      <formula>NOT(ISERROR(SEARCH($H$7,F301)))</formula>
      <formula>$H$7</formula>
    </cfRule>
    <cfRule type="containsText" dxfId="5790" priority="7903" operator="containsText" text="$H$8">
      <formula>NOT(ISERROR(SEARCH($H$8,F301)))</formula>
      <formula>$H$8</formula>
    </cfRule>
    <cfRule type="containsText" dxfId="5789" priority="7902" operator="containsText" text="$H$8">
      <formula>NOT(ISERROR(SEARCH($H$8,F301)))</formula>
      <formula>$H$8</formula>
    </cfRule>
    <cfRule type="containsText" dxfId="5788" priority="7901" operator="containsText" text="$H$9">
      <formula>NOT(ISERROR(SEARCH($H$9,F301)))</formula>
      <formula>$H$9</formula>
    </cfRule>
    <cfRule type="containsText" dxfId="5787" priority="7900" operator="containsText" text="$H$10">
      <formula>NOT(ISERROR(SEARCH($H$10,F301)))</formula>
      <formula>$H$10</formula>
    </cfRule>
    <cfRule type="containsText" dxfId="5786" priority="7899" operator="containsText" text="$H$11">
      <formula>NOT(ISERROR(SEARCH($H$11,F301)))</formula>
      <formula>$H$11</formula>
    </cfRule>
    <cfRule type="containsText" dxfId="5785" priority="7898" operator="containsText" text="$H$12">
      <formula>NOT(ISERROR(SEARCH($H$12,F301)))</formula>
      <formula>$H$12</formula>
    </cfRule>
    <cfRule type="containsText" dxfId="5784" priority="7897" operator="containsText" text="$H$13">
      <formula>NOT(ISERROR(SEARCH($H$13,F301)))</formula>
      <formula>$H$13</formula>
    </cfRule>
  </conditionalFormatting>
  <conditionalFormatting sqref="C313">
    <cfRule type="containsText" dxfId="5783" priority="7888" operator="containsText" text="$H$7">
      <formula>NOT(ISERROR(SEARCH($H$7,C313)))</formula>
      <formula>$H$7</formula>
    </cfRule>
    <cfRule type="containsText" dxfId="5782" priority="7887" operator="containsText" text="$H$8">
      <formula>NOT(ISERROR(SEARCH($H$8,C313)))</formula>
      <formula>$H$8</formula>
    </cfRule>
    <cfRule type="containsText" dxfId="5781" priority="7886" operator="containsText" text="$H$8">
      <formula>NOT(ISERROR(SEARCH($H$8,C313)))</formula>
      <formula>$H$8</formula>
    </cfRule>
    <cfRule type="containsText" dxfId="5780" priority="7885" operator="containsText" text="$H$9">
      <formula>NOT(ISERROR(SEARCH($H$9,C313)))</formula>
      <formula>$H$9</formula>
    </cfRule>
    <cfRule type="containsText" dxfId="5779" priority="7884" operator="containsText" text="$H$10">
      <formula>NOT(ISERROR(SEARCH($H$10,C313)))</formula>
      <formula>$H$10</formula>
    </cfRule>
    <cfRule type="containsText" dxfId="5778" priority="7883" operator="containsText" text="$H$11">
      <formula>NOT(ISERROR(SEARCH($H$11,C313)))</formula>
      <formula>$H$11</formula>
    </cfRule>
    <cfRule type="containsText" dxfId="5777" priority="7882" operator="containsText" text="$H$12">
      <formula>NOT(ISERROR(SEARCH($H$12,C313)))</formula>
      <formula>$H$12</formula>
    </cfRule>
    <cfRule type="containsText" dxfId="5776" priority="7881" operator="containsText" text="$H$13">
      <formula>NOT(ISERROR(SEARCH($H$13,C313)))</formula>
      <formula>$H$13</formula>
    </cfRule>
  </conditionalFormatting>
  <conditionalFormatting sqref="C313">
    <cfRule type="containsText" dxfId="5775" priority="7880" operator="containsText" text="$H$7">
      <formula>NOT(ISERROR(SEARCH($H$7,C313)))</formula>
      <formula>$H$7</formula>
    </cfRule>
    <cfRule type="containsText" dxfId="5774" priority="7879" operator="containsText" text="$H$8">
      <formula>NOT(ISERROR(SEARCH($H$8,C313)))</formula>
      <formula>$H$8</formula>
    </cfRule>
    <cfRule type="containsText" dxfId="5773" priority="7878" operator="containsText" text="$H$8">
      <formula>NOT(ISERROR(SEARCH($H$8,C313)))</formula>
      <formula>$H$8</formula>
    </cfRule>
    <cfRule type="containsText" dxfId="5772" priority="7877" operator="containsText" text="$H$9">
      <formula>NOT(ISERROR(SEARCH($H$9,C313)))</formula>
      <formula>$H$9</formula>
    </cfRule>
    <cfRule type="containsText" dxfId="5771" priority="7876" operator="containsText" text="$H$10">
      <formula>NOT(ISERROR(SEARCH($H$10,C313)))</formula>
      <formula>$H$10</formula>
    </cfRule>
    <cfRule type="containsText" dxfId="5770" priority="7875" operator="containsText" text="$H$11">
      <formula>NOT(ISERROR(SEARCH($H$11,C313)))</formula>
      <formula>$H$11</formula>
    </cfRule>
    <cfRule type="containsText" dxfId="5769" priority="7874" operator="containsText" text="$H$12">
      <formula>NOT(ISERROR(SEARCH($H$12,C313)))</formula>
      <formula>$H$12</formula>
    </cfRule>
    <cfRule type="containsText" dxfId="5768" priority="7873" operator="containsText" text="$H$13">
      <formula>NOT(ISERROR(SEARCH($H$13,C313)))</formula>
      <formula>$H$13</formula>
    </cfRule>
  </conditionalFormatting>
  <conditionalFormatting sqref="C315">
    <cfRule type="containsText" dxfId="5767" priority="7872" operator="containsText" text="$H$7">
      <formula>NOT(ISERROR(SEARCH($H$7,C315)))</formula>
      <formula>$H$7</formula>
    </cfRule>
    <cfRule type="containsText" dxfId="5766" priority="7871" operator="containsText" text="$H$8">
      <formula>NOT(ISERROR(SEARCH($H$8,C315)))</formula>
      <formula>$H$8</formula>
    </cfRule>
    <cfRule type="containsText" dxfId="5765" priority="7870" operator="containsText" text="$H$8">
      <formula>NOT(ISERROR(SEARCH($H$8,C315)))</formula>
      <formula>$H$8</formula>
    </cfRule>
    <cfRule type="containsText" dxfId="5764" priority="7869" operator="containsText" text="$H$9">
      <formula>NOT(ISERROR(SEARCH($H$9,C315)))</formula>
      <formula>$H$9</formula>
    </cfRule>
    <cfRule type="containsText" dxfId="5763" priority="7868" operator="containsText" text="$H$10">
      <formula>NOT(ISERROR(SEARCH($H$10,C315)))</formula>
      <formula>$H$10</formula>
    </cfRule>
    <cfRule type="containsText" dxfId="5762" priority="7867" operator="containsText" text="$H$11">
      <formula>NOT(ISERROR(SEARCH($H$11,C315)))</formula>
      <formula>$H$11</formula>
    </cfRule>
    <cfRule type="containsText" dxfId="5761" priority="7866" operator="containsText" text="$H$12">
      <formula>NOT(ISERROR(SEARCH($H$12,C315)))</formula>
      <formula>$H$12</formula>
    </cfRule>
    <cfRule type="containsText" dxfId="5760" priority="7865" operator="containsText" text="$H$13">
      <formula>NOT(ISERROR(SEARCH($H$13,C315)))</formula>
      <formula>$H$13</formula>
    </cfRule>
  </conditionalFormatting>
  <conditionalFormatting sqref="C315">
    <cfRule type="containsText" dxfId="5759" priority="7864" operator="containsText" text="$H$7">
      <formula>NOT(ISERROR(SEARCH($H$7,C315)))</formula>
      <formula>$H$7</formula>
    </cfRule>
    <cfRule type="containsText" dxfId="5758" priority="7863" operator="containsText" text="$H$8">
      <formula>NOT(ISERROR(SEARCH($H$8,C315)))</formula>
      <formula>$H$8</formula>
    </cfRule>
    <cfRule type="containsText" dxfId="5757" priority="7862" operator="containsText" text="$H$8">
      <formula>NOT(ISERROR(SEARCH($H$8,C315)))</formula>
      <formula>$H$8</formula>
    </cfRule>
    <cfRule type="containsText" dxfId="5756" priority="7861" operator="containsText" text="$H$9">
      <formula>NOT(ISERROR(SEARCH($H$9,C315)))</formula>
      <formula>$H$9</formula>
    </cfRule>
    <cfRule type="containsText" dxfId="5755" priority="7860" operator="containsText" text="$H$10">
      <formula>NOT(ISERROR(SEARCH($H$10,C315)))</formula>
      <formula>$H$10</formula>
    </cfRule>
    <cfRule type="containsText" dxfId="5754" priority="7859" operator="containsText" text="$H$11">
      <formula>NOT(ISERROR(SEARCH($H$11,C315)))</formula>
      <formula>$H$11</formula>
    </cfRule>
    <cfRule type="containsText" dxfId="5753" priority="7858" operator="containsText" text="$H$12">
      <formula>NOT(ISERROR(SEARCH($H$12,C315)))</formula>
      <formula>$H$12</formula>
    </cfRule>
    <cfRule type="containsText" dxfId="5752" priority="7857" operator="containsText" text="$H$13">
      <formula>NOT(ISERROR(SEARCH($H$13,C315)))</formula>
      <formula>$H$13</formula>
    </cfRule>
  </conditionalFormatting>
  <conditionalFormatting sqref="C317">
    <cfRule type="containsText" dxfId="5751" priority="7856" operator="containsText" text="$H$7">
      <formula>NOT(ISERROR(SEARCH($H$7,C317)))</formula>
      <formula>$H$7</formula>
    </cfRule>
    <cfRule type="containsText" dxfId="5750" priority="7855" operator="containsText" text="$H$8">
      <formula>NOT(ISERROR(SEARCH($H$8,C317)))</formula>
      <formula>$H$8</formula>
    </cfRule>
    <cfRule type="containsText" dxfId="5749" priority="7854" operator="containsText" text="$H$8">
      <formula>NOT(ISERROR(SEARCH($H$8,C317)))</formula>
      <formula>$H$8</formula>
    </cfRule>
    <cfRule type="containsText" dxfId="5748" priority="7853" operator="containsText" text="$H$9">
      <formula>NOT(ISERROR(SEARCH($H$9,C317)))</formula>
      <formula>$H$9</formula>
    </cfRule>
    <cfRule type="containsText" dxfId="5747" priority="7852" operator="containsText" text="$H$10">
      <formula>NOT(ISERROR(SEARCH($H$10,C317)))</formula>
      <formula>$H$10</formula>
    </cfRule>
    <cfRule type="containsText" dxfId="5746" priority="7851" operator="containsText" text="$H$11">
      <formula>NOT(ISERROR(SEARCH($H$11,C317)))</formula>
      <formula>$H$11</formula>
    </cfRule>
    <cfRule type="containsText" dxfId="5745" priority="7850" operator="containsText" text="$H$12">
      <formula>NOT(ISERROR(SEARCH($H$12,C317)))</formula>
      <formula>$H$12</formula>
    </cfRule>
    <cfRule type="containsText" dxfId="5744" priority="7849" operator="containsText" text="$H$13">
      <formula>NOT(ISERROR(SEARCH($H$13,C317)))</formula>
      <formula>$H$13</formula>
    </cfRule>
  </conditionalFormatting>
  <conditionalFormatting sqref="C317">
    <cfRule type="containsText" dxfId="5743" priority="7848" operator="containsText" text="$H$7">
      <formula>NOT(ISERROR(SEARCH($H$7,C317)))</formula>
      <formula>$H$7</formula>
    </cfRule>
    <cfRule type="containsText" dxfId="5742" priority="7847" operator="containsText" text="$H$8">
      <formula>NOT(ISERROR(SEARCH($H$8,C317)))</formula>
      <formula>$H$8</formula>
    </cfRule>
    <cfRule type="containsText" dxfId="5741" priority="7846" operator="containsText" text="$H$8">
      <formula>NOT(ISERROR(SEARCH($H$8,C317)))</formula>
      <formula>$H$8</formula>
    </cfRule>
    <cfRule type="containsText" dxfId="5740" priority="7845" operator="containsText" text="$H$9">
      <formula>NOT(ISERROR(SEARCH($H$9,C317)))</formula>
      <formula>$H$9</formula>
    </cfRule>
    <cfRule type="containsText" dxfId="5739" priority="7844" operator="containsText" text="$H$10">
      <formula>NOT(ISERROR(SEARCH($H$10,C317)))</formula>
      <formula>$H$10</formula>
    </cfRule>
    <cfRule type="containsText" dxfId="5738" priority="7843" operator="containsText" text="$H$11">
      <formula>NOT(ISERROR(SEARCH($H$11,C317)))</formula>
      <formula>$H$11</formula>
    </cfRule>
    <cfRule type="containsText" dxfId="5737" priority="7842" operator="containsText" text="$H$12">
      <formula>NOT(ISERROR(SEARCH($H$12,C317)))</formula>
      <formula>$H$12</formula>
    </cfRule>
    <cfRule type="containsText" dxfId="5736" priority="7841" operator="containsText" text="$H$13">
      <formula>NOT(ISERROR(SEARCH($H$13,C317)))</formula>
      <formula>$H$13</formula>
    </cfRule>
  </conditionalFormatting>
  <conditionalFormatting sqref="C319">
    <cfRule type="containsText" dxfId="5735" priority="7840" operator="containsText" text="$H$7">
      <formula>NOT(ISERROR(SEARCH($H$7,C319)))</formula>
      <formula>$H$7</formula>
    </cfRule>
    <cfRule type="containsText" dxfId="5734" priority="7839" operator="containsText" text="$H$8">
      <formula>NOT(ISERROR(SEARCH($H$8,C319)))</formula>
      <formula>$H$8</formula>
    </cfRule>
    <cfRule type="containsText" dxfId="5733" priority="7838" operator="containsText" text="$H$8">
      <formula>NOT(ISERROR(SEARCH($H$8,C319)))</formula>
      <formula>$H$8</formula>
    </cfRule>
    <cfRule type="containsText" dxfId="5732" priority="7837" operator="containsText" text="$H$9">
      <formula>NOT(ISERROR(SEARCH($H$9,C319)))</formula>
      <formula>$H$9</formula>
    </cfRule>
    <cfRule type="containsText" dxfId="5731" priority="7836" operator="containsText" text="$H$10">
      <formula>NOT(ISERROR(SEARCH($H$10,C319)))</formula>
      <formula>$H$10</formula>
    </cfRule>
    <cfRule type="containsText" dxfId="5730" priority="7835" operator="containsText" text="$H$11">
      <formula>NOT(ISERROR(SEARCH($H$11,C319)))</formula>
      <formula>$H$11</formula>
    </cfRule>
    <cfRule type="containsText" dxfId="5729" priority="7834" operator="containsText" text="$H$12">
      <formula>NOT(ISERROR(SEARCH($H$12,C319)))</formula>
      <formula>$H$12</formula>
    </cfRule>
    <cfRule type="containsText" dxfId="5728" priority="7833" operator="containsText" text="$H$13">
      <formula>NOT(ISERROR(SEARCH($H$13,C319)))</formula>
      <formula>$H$13</formula>
    </cfRule>
  </conditionalFormatting>
  <conditionalFormatting sqref="C319">
    <cfRule type="containsText" dxfId="5727" priority="7832" operator="containsText" text="$H$7">
      <formula>NOT(ISERROR(SEARCH($H$7,C319)))</formula>
      <formula>$H$7</formula>
    </cfRule>
    <cfRule type="containsText" dxfId="5726" priority="7831" operator="containsText" text="$H$8">
      <formula>NOT(ISERROR(SEARCH($H$8,C319)))</formula>
      <formula>$H$8</formula>
    </cfRule>
    <cfRule type="containsText" dxfId="5725" priority="7830" operator="containsText" text="$H$8">
      <formula>NOT(ISERROR(SEARCH($H$8,C319)))</formula>
      <formula>$H$8</formula>
    </cfRule>
    <cfRule type="containsText" dxfId="5724" priority="7829" operator="containsText" text="$H$9">
      <formula>NOT(ISERROR(SEARCH($H$9,C319)))</formula>
      <formula>$H$9</formula>
    </cfRule>
    <cfRule type="containsText" dxfId="5723" priority="7828" operator="containsText" text="$H$10">
      <formula>NOT(ISERROR(SEARCH($H$10,C319)))</formula>
      <formula>$H$10</formula>
    </cfRule>
    <cfRule type="containsText" dxfId="5722" priority="7827" operator="containsText" text="$H$11">
      <formula>NOT(ISERROR(SEARCH($H$11,C319)))</formula>
      <formula>$H$11</formula>
    </cfRule>
    <cfRule type="containsText" dxfId="5721" priority="7826" operator="containsText" text="$H$12">
      <formula>NOT(ISERROR(SEARCH($H$12,C319)))</formula>
      <formula>$H$12</formula>
    </cfRule>
    <cfRule type="containsText" dxfId="5720" priority="7825" operator="containsText" text="$H$13">
      <formula>NOT(ISERROR(SEARCH($H$13,C319)))</formula>
      <formula>$H$13</formula>
    </cfRule>
  </conditionalFormatting>
  <conditionalFormatting sqref="E313">
    <cfRule type="containsText" dxfId="5719" priority="7824" operator="containsText" text="$H$7">
      <formula>NOT(ISERROR(SEARCH($H$7,E313)))</formula>
      <formula>$H$7</formula>
    </cfRule>
    <cfRule type="containsText" dxfId="5718" priority="7823" operator="containsText" text="$H$8">
      <formula>NOT(ISERROR(SEARCH($H$8,E313)))</formula>
      <formula>$H$8</formula>
    </cfRule>
    <cfRule type="containsText" dxfId="5717" priority="7822" operator="containsText" text="$H$8">
      <formula>NOT(ISERROR(SEARCH($H$8,E313)))</formula>
      <formula>$H$8</formula>
    </cfRule>
    <cfRule type="containsText" dxfId="5716" priority="7821" operator="containsText" text="$H$9">
      <formula>NOT(ISERROR(SEARCH($H$9,E313)))</formula>
      <formula>$H$9</formula>
    </cfRule>
    <cfRule type="containsText" dxfId="5715" priority="7820" operator="containsText" text="$H$10">
      <formula>NOT(ISERROR(SEARCH($H$10,E313)))</formula>
      <formula>$H$10</formula>
    </cfRule>
    <cfRule type="containsText" dxfId="5714" priority="7819" operator="containsText" text="$H$11">
      <formula>NOT(ISERROR(SEARCH($H$11,E313)))</formula>
      <formula>$H$11</formula>
    </cfRule>
    <cfRule type="containsText" dxfId="5713" priority="7818" operator="containsText" text="$H$12">
      <formula>NOT(ISERROR(SEARCH($H$12,E313)))</formula>
      <formula>$H$12</formula>
    </cfRule>
    <cfRule type="containsText" dxfId="5712" priority="7817" operator="containsText" text="$H$13">
      <formula>NOT(ISERROR(SEARCH($H$13,E313)))</formula>
      <formula>$H$13</formula>
    </cfRule>
  </conditionalFormatting>
  <conditionalFormatting sqref="E313">
    <cfRule type="containsText" dxfId="5711" priority="7816" operator="containsText" text="$H$7">
      <formula>NOT(ISERROR(SEARCH($H$7,E313)))</formula>
      <formula>$H$7</formula>
    </cfRule>
    <cfRule type="containsText" dxfId="5710" priority="7815" operator="containsText" text="$H$8">
      <formula>NOT(ISERROR(SEARCH($H$8,E313)))</formula>
      <formula>$H$8</formula>
    </cfRule>
    <cfRule type="containsText" dxfId="5709" priority="7814" operator="containsText" text="$H$8">
      <formula>NOT(ISERROR(SEARCH($H$8,E313)))</formula>
      <formula>$H$8</formula>
    </cfRule>
    <cfRule type="containsText" dxfId="5708" priority="7813" operator="containsText" text="$H$9">
      <formula>NOT(ISERROR(SEARCH($H$9,E313)))</formula>
      <formula>$H$9</formula>
    </cfRule>
    <cfRule type="containsText" dxfId="5707" priority="7812" operator="containsText" text="$H$10">
      <formula>NOT(ISERROR(SEARCH($H$10,E313)))</formula>
      <formula>$H$10</formula>
    </cfRule>
    <cfRule type="containsText" dxfId="5706" priority="7811" operator="containsText" text="$H$11">
      <formula>NOT(ISERROR(SEARCH($H$11,E313)))</formula>
      <formula>$H$11</formula>
    </cfRule>
    <cfRule type="containsText" dxfId="5705" priority="7810" operator="containsText" text="$H$12">
      <formula>NOT(ISERROR(SEARCH($H$12,E313)))</formula>
      <formula>$H$12</formula>
    </cfRule>
    <cfRule type="containsText" dxfId="5704" priority="7809" operator="containsText" text="$H$13">
      <formula>NOT(ISERROR(SEARCH($H$13,E313)))</formula>
      <formula>$H$13</formula>
    </cfRule>
  </conditionalFormatting>
  <conditionalFormatting sqref="E315">
    <cfRule type="containsText" dxfId="5703" priority="7808" operator="containsText" text="$H$7">
      <formula>NOT(ISERROR(SEARCH($H$7,E315)))</formula>
      <formula>$H$7</formula>
    </cfRule>
    <cfRule type="containsText" dxfId="5702" priority="7807" operator="containsText" text="$H$8">
      <formula>NOT(ISERROR(SEARCH($H$8,E315)))</formula>
      <formula>$H$8</formula>
    </cfRule>
    <cfRule type="containsText" dxfId="5701" priority="7806" operator="containsText" text="$H$8">
      <formula>NOT(ISERROR(SEARCH($H$8,E315)))</formula>
      <formula>$H$8</formula>
    </cfRule>
    <cfRule type="containsText" dxfId="5700" priority="7805" operator="containsText" text="$H$9">
      <formula>NOT(ISERROR(SEARCH($H$9,E315)))</formula>
      <formula>$H$9</formula>
    </cfRule>
    <cfRule type="containsText" dxfId="5699" priority="7804" operator="containsText" text="$H$10">
      <formula>NOT(ISERROR(SEARCH($H$10,E315)))</formula>
      <formula>$H$10</formula>
    </cfRule>
    <cfRule type="containsText" dxfId="5698" priority="7803" operator="containsText" text="$H$11">
      <formula>NOT(ISERROR(SEARCH($H$11,E315)))</formula>
      <formula>$H$11</formula>
    </cfRule>
    <cfRule type="containsText" dxfId="5697" priority="7802" operator="containsText" text="$H$12">
      <formula>NOT(ISERROR(SEARCH($H$12,E315)))</formula>
      <formula>$H$12</formula>
    </cfRule>
    <cfRule type="containsText" dxfId="5696" priority="7801" operator="containsText" text="$H$13">
      <formula>NOT(ISERROR(SEARCH($H$13,E315)))</formula>
      <formula>$H$13</formula>
    </cfRule>
  </conditionalFormatting>
  <conditionalFormatting sqref="E315">
    <cfRule type="containsText" dxfId="5695" priority="7800" operator="containsText" text="$H$7">
      <formula>NOT(ISERROR(SEARCH($H$7,E315)))</formula>
      <formula>$H$7</formula>
    </cfRule>
    <cfRule type="containsText" dxfId="5694" priority="7799" operator="containsText" text="$H$8">
      <formula>NOT(ISERROR(SEARCH($H$8,E315)))</formula>
      <formula>$H$8</formula>
    </cfRule>
    <cfRule type="containsText" dxfId="5693" priority="7798" operator="containsText" text="$H$8">
      <formula>NOT(ISERROR(SEARCH($H$8,E315)))</formula>
      <formula>$H$8</formula>
    </cfRule>
    <cfRule type="containsText" dxfId="5692" priority="7797" operator="containsText" text="$H$9">
      <formula>NOT(ISERROR(SEARCH($H$9,E315)))</formula>
      <formula>$H$9</formula>
    </cfRule>
    <cfRule type="containsText" dxfId="5691" priority="7796" operator="containsText" text="$H$10">
      <formula>NOT(ISERROR(SEARCH($H$10,E315)))</formula>
      <formula>$H$10</formula>
    </cfRule>
    <cfRule type="containsText" dxfId="5690" priority="7795" operator="containsText" text="$H$11">
      <formula>NOT(ISERROR(SEARCH($H$11,E315)))</formula>
      <formula>$H$11</formula>
    </cfRule>
    <cfRule type="containsText" dxfId="5689" priority="7794" operator="containsText" text="$H$12">
      <formula>NOT(ISERROR(SEARCH($H$12,E315)))</formula>
      <formula>$H$12</formula>
    </cfRule>
    <cfRule type="containsText" dxfId="5688" priority="7793" operator="containsText" text="$H$13">
      <formula>NOT(ISERROR(SEARCH($H$13,E315)))</formula>
      <formula>$H$13</formula>
    </cfRule>
  </conditionalFormatting>
  <conditionalFormatting sqref="E317">
    <cfRule type="containsText" dxfId="5687" priority="7792" operator="containsText" text="$H$7">
      <formula>NOT(ISERROR(SEARCH($H$7,E317)))</formula>
      <formula>$H$7</formula>
    </cfRule>
    <cfRule type="containsText" dxfId="5686" priority="7791" operator="containsText" text="$H$8">
      <formula>NOT(ISERROR(SEARCH($H$8,E317)))</formula>
      <formula>$H$8</formula>
    </cfRule>
    <cfRule type="containsText" dxfId="5685" priority="7790" operator="containsText" text="$H$8">
      <formula>NOT(ISERROR(SEARCH($H$8,E317)))</formula>
      <formula>$H$8</formula>
    </cfRule>
    <cfRule type="containsText" dxfId="5684" priority="7789" operator="containsText" text="$H$9">
      <formula>NOT(ISERROR(SEARCH($H$9,E317)))</formula>
      <formula>$H$9</formula>
    </cfRule>
    <cfRule type="containsText" dxfId="5683" priority="7788" operator="containsText" text="$H$10">
      <formula>NOT(ISERROR(SEARCH($H$10,E317)))</formula>
      <formula>$H$10</formula>
    </cfRule>
    <cfRule type="containsText" dxfId="5682" priority="7787" operator="containsText" text="$H$11">
      <formula>NOT(ISERROR(SEARCH($H$11,E317)))</formula>
      <formula>$H$11</formula>
    </cfRule>
    <cfRule type="containsText" dxfId="5681" priority="7786" operator="containsText" text="$H$12">
      <formula>NOT(ISERROR(SEARCH($H$12,E317)))</formula>
      <formula>$H$12</formula>
    </cfRule>
    <cfRule type="containsText" dxfId="5680" priority="7785" operator="containsText" text="$H$13">
      <formula>NOT(ISERROR(SEARCH($H$13,E317)))</formula>
      <formula>$H$13</formula>
    </cfRule>
  </conditionalFormatting>
  <conditionalFormatting sqref="E317">
    <cfRule type="containsText" dxfId="5679" priority="7784" operator="containsText" text="$H$7">
      <formula>NOT(ISERROR(SEARCH($H$7,E317)))</formula>
      <formula>$H$7</formula>
    </cfRule>
    <cfRule type="containsText" dxfId="5678" priority="7783" operator="containsText" text="$H$8">
      <formula>NOT(ISERROR(SEARCH($H$8,E317)))</formula>
      <formula>$H$8</formula>
    </cfRule>
    <cfRule type="containsText" dxfId="5677" priority="7782" operator="containsText" text="$H$8">
      <formula>NOT(ISERROR(SEARCH($H$8,E317)))</formula>
      <formula>$H$8</formula>
    </cfRule>
    <cfRule type="containsText" dxfId="5676" priority="7781" operator="containsText" text="$H$9">
      <formula>NOT(ISERROR(SEARCH($H$9,E317)))</formula>
      <formula>$H$9</formula>
    </cfRule>
    <cfRule type="containsText" dxfId="5675" priority="7780" operator="containsText" text="$H$10">
      <formula>NOT(ISERROR(SEARCH($H$10,E317)))</formula>
      <formula>$H$10</formula>
    </cfRule>
    <cfRule type="containsText" dxfId="5674" priority="7779" operator="containsText" text="$H$11">
      <formula>NOT(ISERROR(SEARCH($H$11,E317)))</formula>
      <formula>$H$11</formula>
    </cfRule>
    <cfRule type="containsText" dxfId="5673" priority="7778" operator="containsText" text="$H$12">
      <formula>NOT(ISERROR(SEARCH($H$12,E317)))</formula>
      <formula>$H$12</formula>
    </cfRule>
    <cfRule type="containsText" dxfId="5672" priority="7777" operator="containsText" text="$H$13">
      <formula>NOT(ISERROR(SEARCH($H$13,E317)))</formula>
      <formula>$H$13</formula>
    </cfRule>
  </conditionalFormatting>
  <conditionalFormatting sqref="E319">
    <cfRule type="containsText" dxfId="5671" priority="7776" operator="containsText" text="$H$7">
      <formula>NOT(ISERROR(SEARCH($H$7,E319)))</formula>
      <formula>$H$7</formula>
    </cfRule>
    <cfRule type="containsText" dxfId="5670" priority="7775" operator="containsText" text="$H$8">
      <formula>NOT(ISERROR(SEARCH($H$8,E319)))</formula>
      <formula>$H$8</formula>
    </cfRule>
    <cfRule type="containsText" dxfId="5669" priority="7774" operator="containsText" text="$H$8">
      <formula>NOT(ISERROR(SEARCH($H$8,E319)))</formula>
      <formula>$H$8</formula>
    </cfRule>
    <cfRule type="containsText" dxfId="5668" priority="7773" operator="containsText" text="$H$9">
      <formula>NOT(ISERROR(SEARCH($H$9,E319)))</formula>
      <formula>$H$9</formula>
    </cfRule>
    <cfRule type="containsText" dxfId="5667" priority="7772" operator="containsText" text="$H$10">
      <formula>NOT(ISERROR(SEARCH($H$10,E319)))</formula>
      <formula>$H$10</formula>
    </cfRule>
    <cfRule type="containsText" dxfId="5666" priority="7771" operator="containsText" text="$H$11">
      <formula>NOT(ISERROR(SEARCH($H$11,E319)))</formula>
      <formula>$H$11</formula>
    </cfRule>
    <cfRule type="containsText" dxfId="5665" priority="7770" operator="containsText" text="$H$12">
      <formula>NOT(ISERROR(SEARCH($H$12,E319)))</formula>
      <formula>$H$12</formula>
    </cfRule>
    <cfRule type="containsText" dxfId="5664" priority="7769" operator="containsText" text="$H$13">
      <formula>NOT(ISERROR(SEARCH($H$13,E319)))</formula>
      <formula>$H$13</formula>
    </cfRule>
  </conditionalFormatting>
  <conditionalFormatting sqref="E319">
    <cfRule type="containsText" dxfId="5663" priority="7768" operator="containsText" text="$H$7">
      <formula>NOT(ISERROR(SEARCH($H$7,E319)))</formula>
      <formula>$H$7</formula>
    </cfRule>
    <cfRule type="containsText" dxfId="5662" priority="7767" operator="containsText" text="$H$8">
      <formula>NOT(ISERROR(SEARCH($H$8,E319)))</formula>
      <formula>$H$8</formula>
    </cfRule>
    <cfRule type="containsText" dxfId="5661" priority="7766" operator="containsText" text="$H$8">
      <formula>NOT(ISERROR(SEARCH($H$8,E319)))</formula>
      <formula>$H$8</formula>
    </cfRule>
    <cfRule type="containsText" dxfId="5660" priority="7765" operator="containsText" text="$H$9">
      <formula>NOT(ISERROR(SEARCH($H$9,E319)))</formula>
      <formula>$H$9</formula>
    </cfRule>
    <cfRule type="containsText" dxfId="5659" priority="7764" operator="containsText" text="$H$10">
      <formula>NOT(ISERROR(SEARCH($H$10,E319)))</formula>
      <formula>$H$10</formula>
    </cfRule>
    <cfRule type="containsText" dxfId="5658" priority="7763" operator="containsText" text="$H$11">
      <formula>NOT(ISERROR(SEARCH($H$11,E319)))</formula>
      <formula>$H$11</formula>
    </cfRule>
    <cfRule type="containsText" dxfId="5657" priority="7762" operator="containsText" text="$H$12">
      <formula>NOT(ISERROR(SEARCH($H$12,E319)))</formula>
      <formula>$H$12</formula>
    </cfRule>
    <cfRule type="containsText" dxfId="5656" priority="7761" operator="containsText" text="$H$13">
      <formula>NOT(ISERROR(SEARCH($H$13,E319)))</formula>
      <formula>$H$13</formula>
    </cfRule>
  </conditionalFormatting>
  <conditionalFormatting sqref="E321">
    <cfRule type="containsText" dxfId="5655" priority="7760" operator="containsText" text="$H$7">
      <formula>NOT(ISERROR(SEARCH($H$7,E321)))</formula>
      <formula>$H$7</formula>
    </cfRule>
    <cfRule type="containsText" dxfId="5654" priority="7759" operator="containsText" text="$H$8">
      <formula>NOT(ISERROR(SEARCH($H$8,E321)))</formula>
      <formula>$H$8</formula>
    </cfRule>
    <cfRule type="containsText" dxfId="5653" priority="7758" operator="containsText" text="$H$8">
      <formula>NOT(ISERROR(SEARCH($H$8,E321)))</formula>
      <formula>$H$8</formula>
    </cfRule>
    <cfRule type="containsText" dxfId="5652" priority="7757" operator="containsText" text="$H$9">
      <formula>NOT(ISERROR(SEARCH($H$9,E321)))</formula>
      <formula>$H$9</formula>
    </cfRule>
    <cfRule type="containsText" dxfId="5651" priority="7756" operator="containsText" text="$H$10">
      <formula>NOT(ISERROR(SEARCH($H$10,E321)))</formula>
      <formula>$H$10</formula>
    </cfRule>
    <cfRule type="containsText" dxfId="5650" priority="7755" operator="containsText" text="$H$11">
      <formula>NOT(ISERROR(SEARCH($H$11,E321)))</formula>
      <formula>$H$11</formula>
    </cfRule>
    <cfRule type="containsText" dxfId="5649" priority="7754" operator="containsText" text="$H$12">
      <formula>NOT(ISERROR(SEARCH($H$12,E321)))</formula>
      <formula>$H$12</formula>
    </cfRule>
    <cfRule type="containsText" dxfId="5648" priority="7753" operator="containsText" text="$H$13">
      <formula>NOT(ISERROR(SEARCH($H$13,E321)))</formula>
      <formula>$H$13</formula>
    </cfRule>
  </conditionalFormatting>
  <conditionalFormatting sqref="E321">
    <cfRule type="containsText" dxfId="5647" priority="7752" operator="containsText" text="$H$7">
      <formula>NOT(ISERROR(SEARCH($H$7,E321)))</formula>
      <formula>$H$7</formula>
    </cfRule>
    <cfRule type="containsText" dxfId="5646" priority="7751" operator="containsText" text="$H$8">
      <formula>NOT(ISERROR(SEARCH($H$8,E321)))</formula>
      <formula>$H$8</formula>
    </cfRule>
    <cfRule type="containsText" dxfId="5645" priority="7750" operator="containsText" text="$H$8">
      <formula>NOT(ISERROR(SEARCH($H$8,E321)))</formula>
      <formula>$H$8</formula>
    </cfRule>
    <cfRule type="containsText" dxfId="5644" priority="7749" operator="containsText" text="$H$9">
      <formula>NOT(ISERROR(SEARCH($H$9,E321)))</formula>
      <formula>$H$9</formula>
    </cfRule>
    <cfRule type="containsText" dxfId="5643" priority="7748" operator="containsText" text="$H$10">
      <formula>NOT(ISERROR(SEARCH($H$10,E321)))</formula>
      <formula>$H$10</formula>
    </cfRule>
    <cfRule type="containsText" dxfId="5642" priority="7747" operator="containsText" text="$H$11">
      <formula>NOT(ISERROR(SEARCH($H$11,E321)))</formula>
      <formula>$H$11</formula>
    </cfRule>
    <cfRule type="containsText" dxfId="5641" priority="7746" operator="containsText" text="$H$12">
      <formula>NOT(ISERROR(SEARCH($H$12,E321)))</formula>
      <formula>$H$12</formula>
    </cfRule>
    <cfRule type="containsText" dxfId="5640" priority="7745" operator="containsText" text="$H$13">
      <formula>NOT(ISERROR(SEARCH($H$13,E321)))</formula>
      <formula>$H$13</formula>
    </cfRule>
  </conditionalFormatting>
  <conditionalFormatting sqref="E323">
    <cfRule type="containsText" dxfId="5639" priority="7744" operator="containsText" text="$H$7">
      <formula>NOT(ISERROR(SEARCH($H$7,E323)))</formula>
      <formula>$H$7</formula>
    </cfRule>
    <cfRule type="containsText" dxfId="5638" priority="7743" operator="containsText" text="$H$8">
      <formula>NOT(ISERROR(SEARCH($H$8,E323)))</formula>
      <formula>$H$8</formula>
    </cfRule>
    <cfRule type="containsText" dxfId="5637" priority="7742" operator="containsText" text="$H$8">
      <formula>NOT(ISERROR(SEARCH($H$8,E323)))</formula>
      <formula>$H$8</formula>
    </cfRule>
    <cfRule type="containsText" dxfId="5636" priority="7741" operator="containsText" text="$H$9">
      <formula>NOT(ISERROR(SEARCH($H$9,E323)))</formula>
      <formula>$H$9</formula>
    </cfRule>
    <cfRule type="containsText" dxfId="5635" priority="7740" operator="containsText" text="$H$10">
      <formula>NOT(ISERROR(SEARCH($H$10,E323)))</formula>
      <formula>$H$10</formula>
    </cfRule>
    <cfRule type="containsText" dxfId="5634" priority="7739" operator="containsText" text="$H$11">
      <formula>NOT(ISERROR(SEARCH($H$11,E323)))</formula>
      <formula>$H$11</formula>
    </cfRule>
    <cfRule type="containsText" dxfId="5633" priority="7738" operator="containsText" text="$H$12">
      <formula>NOT(ISERROR(SEARCH($H$12,E323)))</formula>
      <formula>$H$12</formula>
    </cfRule>
    <cfRule type="containsText" dxfId="5632" priority="7737" operator="containsText" text="$H$13">
      <formula>NOT(ISERROR(SEARCH($H$13,E323)))</formula>
      <formula>$H$13</formula>
    </cfRule>
  </conditionalFormatting>
  <conditionalFormatting sqref="E323">
    <cfRule type="containsText" dxfId="5631" priority="7736" operator="containsText" text="$H$7">
      <formula>NOT(ISERROR(SEARCH($H$7,E323)))</formula>
      <formula>$H$7</formula>
    </cfRule>
    <cfRule type="containsText" dxfId="5630" priority="7735" operator="containsText" text="$H$8">
      <formula>NOT(ISERROR(SEARCH($H$8,E323)))</formula>
      <formula>$H$8</formula>
    </cfRule>
    <cfRule type="containsText" dxfId="5629" priority="7734" operator="containsText" text="$H$8">
      <formula>NOT(ISERROR(SEARCH($H$8,E323)))</formula>
      <formula>$H$8</formula>
    </cfRule>
    <cfRule type="containsText" dxfId="5628" priority="7733" operator="containsText" text="$H$9">
      <formula>NOT(ISERROR(SEARCH($H$9,E323)))</formula>
      <formula>$H$9</formula>
    </cfRule>
    <cfRule type="containsText" dxfId="5627" priority="7732" operator="containsText" text="$H$10">
      <formula>NOT(ISERROR(SEARCH($H$10,E323)))</formula>
      <formula>$H$10</formula>
    </cfRule>
    <cfRule type="containsText" dxfId="5626" priority="7731" operator="containsText" text="$H$11">
      <formula>NOT(ISERROR(SEARCH($H$11,E323)))</formula>
      <formula>$H$11</formula>
    </cfRule>
    <cfRule type="containsText" dxfId="5625" priority="7730" operator="containsText" text="$H$12">
      <formula>NOT(ISERROR(SEARCH($H$12,E323)))</formula>
      <formula>$H$12</formula>
    </cfRule>
    <cfRule type="containsText" dxfId="5624" priority="7729" operator="containsText" text="$H$13">
      <formula>NOT(ISERROR(SEARCH($H$13,E323)))</formula>
      <formula>$H$13</formula>
    </cfRule>
  </conditionalFormatting>
  <conditionalFormatting sqref="E325">
    <cfRule type="containsText" dxfId="5623" priority="7728" operator="containsText" text="$H$7">
      <formula>NOT(ISERROR(SEARCH($H$7,E325)))</formula>
      <formula>$H$7</formula>
    </cfRule>
    <cfRule type="containsText" dxfId="5622" priority="7727" operator="containsText" text="$H$8">
      <formula>NOT(ISERROR(SEARCH($H$8,E325)))</formula>
      <formula>$H$8</formula>
    </cfRule>
    <cfRule type="containsText" dxfId="5621" priority="7726" operator="containsText" text="$H$8">
      <formula>NOT(ISERROR(SEARCH($H$8,E325)))</formula>
      <formula>$H$8</formula>
    </cfRule>
    <cfRule type="containsText" dxfId="5620" priority="7725" operator="containsText" text="$H$9">
      <formula>NOT(ISERROR(SEARCH($H$9,E325)))</formula>
      <formula>$H$9</formula>
    </cfRule>
    <cfRule type="containsText" dxfId="5619" priority="7724" operator="containsText" text="$H$10">
      <formula>NOT(ISERROR(SEARCH($H$10,E325)))</formula>
      <formula>$H$10</formula>
    </cfRule>
    <cfRule type="containsText" dxfId="5618" priority="7723" operator="containsText" text="$H$11">
      <formula>NOT(ISERROR(SEARCH($H$11,E325)))</formula>
      <formula>$H$11</formula>
    </cfRule>
    <cfRule type="containsText" dxfId="5617" priority="7722" operator="containsText" text="$H$12">
      <formula>NOT(ISERROR(SEARCH($H$12,E325)))</formula>
      <formula>$H$12</formula>
    </cfRule>
    <cfRule type="containsText" dxfId="5616" priority="7721" operator="containsText" text="$H$13">
      <formula>NOT(ISERROR(SEARCH($H$13,E325)))</formula>
      <formula>$H$13</formula>
    </cfRule>
  </conditionalFormatting>
  <conditionalFormatting sqref="E325">
    <cfRule type="containsText" dxfId="5615" priority="7720" operator="containsText" text="$H$7">
      <formula>NOT(ISERROR(SEARCH($H$7,E325)))</formula>
      <formula>$H$7</formula>
    </cfRule>
    <cfRule type="containsText" dxfId="5614" priority="7719" operator="containsText" text="$H$8">
      <formula>NOT(ISERROR(SEARCH($H$8,E325)))</formula>
      <formula>$H$8</formula>
    </cfRule>
    <cfRule type="containsText" dxfId="5613" priority="7718" operator="containsText" text="$H$8">
      <formula>NOT(ISERROR(SEARCH($H$8,E325)))</formula>
      <formula>$H$8</formula>
    </cfRule>
    <cfRule type="containsText" dxfId="5612" priority="7717" operator="containsText" text="$H$9">
      <formula>NOT(ISERROR(SEARCH($H$9,E325)))</formula>
      <formula>$H$9</formula>
    </cfRule>
    <cfRule type="containsText" dxfId="5611" priority="7716" operator="containsText" text="$H$10">
      <formula>NOT(ISERROR(SEARCH($H$10,E325)))</formula>
      <formula>$H$10</formula>
    </cfRule>
    <cfRule type="containsText" dxfId="5610" priority="7715" operator="containsText" text="$H$11">
      <formula>NOT(ISERROR(SEARCH($H$11,E325)))</formula>
      <formula>$H$11</formula>
    </cfRule>
    <cfRule type="containsText" dxfId="5609" priority="7714" operator="containsText" text="$H$12">
      <formula>NOT(ISERROR(SEARCH($H$12,E325)))</formula>
      <formula>$H$12</formula>
    </cfRule>
    <cfRule type="containsText" dxfId="5608" priority="7713" operator="containsText" text="$H$13">
      <formula>NOT(ISERROR(SEARCH($H$13,E325)))</formula>
      <formula>$H$13</formula>
    </cfRule>
  </conditionalFormatting>
  <conditionalFormatting sqref="E327">
    <cfRule type="containsText" dxfId="5607" priority="7712" operator="containsText" text="$H$7">
      <formula>NOT(ISERROR(SEARCH($H$7,E327)))</formula>
      <formula>$H$7</formula>
    </cfRule>
    <cfRule type="containsText" dxfId="5606" priority="7711" operator="containsText" text="$H$8">
      <formula>NOT(ISERROR(SEARCH($H$8,E327)))</formula>
      <formula>$H$8</formula>
    </cfRule>
    <cfRule type="containsText" dxfId="5605" priority="7710" operator="containsText" text="$H$8">
      <formula>NOT(ISERROR(SEARCH($H$8,E327)))</formula>
      <formula>$H$8</formula>
    </cfRule>
    <cfRule type="containsText" dxfId="5604" priority="7709" operator="containsText" text="$H$9">
      <formula>NOT(ISERROR(SEARCH($H$9,E327)))</formula>
      <formula>$H$9</formula>
    </cfRule>
    <cfRule type="containsText" dxfId="5603" priority="7708" operator="containsText" text="$H$10">
      <formula>NOT(ISERROR(SEARCH($H$10,E327)))</formula>
      <formula>$H$10</formula>
    </cfRule>
    <cfRule type="containsText" dxfId="5602" priority="7707" operator="containsText" text="$H$11">
      <formula>NOT(ISERROR(SEARCH($H$11,E327)))</formula>
      <formula>$H$11</formula>
    </cfRule>
    <cfRule type="containsText" dxfId="5601" priority="7706" operator="containsText" text="$H$12">
      <formula>NOT(ISERROR(SEARCH($H$12,E327)))</formula>
      <formula>$H$12</formula>
    </cfRule>
    <cfRule type="containsText" dxfId="5600" priority="7705" operator="containsText" text="$H$13">
      <formula>NOT(ISERROR(SEARCH($H$13,E327)))</formula>
      <formula>$H$13</formula>
    </cfRule>
  </conditionalFormatting>
  <conditionalFormatting sqref="E327">
    <cfRule type="containsText" dxfId="5599" priority="7704" operator="containsText" text="$H$7">
      <formula>NOT(ISERROR(SEARCH($H$7,E327)))</formula>
      <formula>$H$7</formula>
    </cfRule>
    <cfRule type="containsText" dxfId="5598" priority="7703" operator="containsText" text="$H$8">
      <formula>NOT(ISERROR(SEARCH($H$8,E327)))</formula>
      <formula>$H$8</formula>
    </cfRule>
    <cfRule type="containsText" dxfId="5597" priority="7702" operator="containsText" text="$H$8">
      <formula>NOT(ISERROR(SEARCH($H$8,E327)))</formula>
      <formula>$H$8</formula>
    </cfRule>
    <cfRule type="containsText" dxfId="5596" priority="7701" operator="containsText" text="$H$9">
      <formula>NOT(ISERROR(SEARCH($H$9,E327)))</formula>
      <formula>$H$9</formula>
    </cfRule>
    <cfRule type="containsText" dxfId="5595" priority="7700" operator="containsText" text="$H$10">
      <formula>NOT(ISERROR(SEARCH($H$10,E327)))</formula>
      <formula>$H$10</formula>
    </cfRule>
    <cfRule type="containsText" dxfId="5594" priority="7699" operator="containsText" text="$H$11">
      <formula>NOT(ISERROR(SEARCH($H$11,E327)))</formula>
      <formula>$H$11</formula>
    </cfRule>
    <cfRule type="containsText" dxfId="5593" priority="7698" operator="containsText" text="$H$12">
      <formula>NOT(ISERROR(SEARCH($H$12,E327)))</formula>
      <formula>$H$12</formula>
    </cfRule>
    <cfRule type="containsText" dxfId="5592" priority="7697" operator="containsText" text="$H$13">
      <formula>NOT(ISERROR(SEARCH($H$13,E327)))</formula>
      <formula>$H$13</formula>
    </cfRule>
  </conditionalFormatting>
  <conditionalFormatting sqref="C339">
    <cfRule type="containsText" dxfId="5591" priority="7648" operator="containsText" text="$H$7">
      <formula>NOT(ISERROR(SEARCH($H$7,C339)))</formula>
      <formula>$H$7</formula>
    </cfRule>
    <cfRule type="containsText" dxfId="5590" priority="7647" operator="containsText" text="$H$8">
      <formula>NOT(ISERROR(SEARCH($H$8,C339)))</formula>
      <formula>$H$8</formula>
    </cfRule>
    <cfRule type="containsText" dxfId="5589" priority="7646" operator="containsText" text="$H$8">
      <formula>NOT(ISERROR(SEARCH($H$8,C339)))</formula>
      <formula>$H$8</formula>
    </cfRule>
    <cfRule type="containsText" dxfId="5588" priority="7645" operator="containsText" text="$H$9">
      <formula>NOT(ISERROR(SEARCH($H$9,C339)))</formula>
      <formula>$H$9</formula>
    </cfRule>
    <cfRule type="containsText" dxfId="5587" priority="7644" operator="containsText" text="$H$10">
      <formula>NOT(ISERROR(SEARCH($H$10,C339)))</formula>
      <formula>$H$10</formula>
    </cfRule>
    <cfRule type="containsText" dxfId="5586" priority="7643" operator="containsText" text="$H$11">
      <formula>NOT(ISERROR(SEARCH($H$11,C339)))</formula>
      <formula>$H$11</formula>
    </cfRule>
    <cfRule type="containsText" dxfId="5585" priority="7642" operator="containsText" text="$H$12">
      <formula>NOT(ISERROR(SEARCH($H$12,C339)))</formula>
      <formula>$H$12</formula>
    </cfRule>
    <cfRule type="containsText" dxfId="5584" priority="7641" operator="containsText" text="$H$13">
      <formula>NOT(ISERROR(SEARCH($H$13,C339)))</formula>
      <formula>$H$13</formula>
    </cfRule>
  </conditionalFormatting>
  <conditionalFormatting sqref="C339">
    <cfRule type="containsText" dxfId="5583" priority="7640" operator="containsText" text="$H$7">
      <formula>NOT(ISERROR(SEARCH($H$7,C339)))</formula>
      <formula>$H$7</formula>
    </cfRule>
    <cfRule type="containsText" dxfId="5582" priority="7639" operator="containsText" text="$H$8">
      <formula>NOT(ISERROR(SEARCH($H$8,C339)))</formula>
      <formula>$H$8</formula>
    </cfRule>
    <cfRule type="containsText" dxfId="5581" priority="7638" operator="containsText" text="$H$8">
      <formula>NOT(ISERROR(SEARCH($H$8,C339)))</formula>
      <formula>$H$8</formula>
    </cfRule>
    <cfRule type="containsText" dxfId="5580" priority="7637" operator="containsText" text="$H$9">
      <formula>NOT(ISERROR(SEARCH($H$9,C339)))</formula>
      <formula>$H$9</formula>
    </cfRule>
    <cfRule type="containsText" dxfId="5579" priority="7636" operator="containsText" text="$H$10">
      <formula>NOT(ISERROR(SEARCH($H$10,C339)))</formula>
      <formula>$H$10</formula>
    </cfRule>
    <cfRule type="containsText" dxfId="5578" priority="7635" operator="containsText" text="$H$11">
      <formula>NOT(ISERROR(SEARCH($H$11,C339)))</formula>
      <formula>$H$11</formula>
    </cfRule>
    <cfRule type="containsText" dxfId="5577" priority="7634" operator="containsText" text="$H$12">
      <formula>NOT(ISERROR(SEARCH($H$12,C339)))</formula>
      <formula>$H$12</formula>
    </cfRule>
    <cfRule type="containsText" dxfId="5576" priority="7633" operator="containsText" text="$H$13">
      <formula>NOT(ISERROR(SEARCH($H$13,C339)))</formula>
      <formula>$H$13</formula>
    </cfRule>
  </conditionalFormatting>
  <conditionalFormatting sqref="E363">
    <cfRule type="containsText" dxfId="5575" priority="7504" operator="containsText" text="$H$7">
      <formula>NOT(ISERROR(SEARCH($H$7,E363)))</formula>
      <formula>$H$7</formula>
    </cfRule>
    <cfRule type="containsText" dxfId="5574" priority="7503" operator="containsText" text="$H$8">
      <formula>NOT(ISERROR(SEARCH($H$8,E363)))</formula>
      <formula>$H$8</formula>
    </cfRule>
    <cfRule type="containsText" dxfId="5573" priority="7502" operator="containsText" text="$H$8">
      <formula>NOT(ISERROR(SEARCH($H$8,E363)))</formula>
      <formula>$H$8</formula>
    </cfRule>
    <cfRule type="containsText" dxfId="5572" priority="7501" operator="containsText" text="$H$9">
      <formula>NOT(ISERROR(SEARCH($H$9,E363)))</formula>
      <formula>$H$9</formula>
    </cfRule>
    <cfRule type="containsText" dxfId="5571" priority="7500" operator="containsText" text="$H$10">
      <formula>NOT(ISERROR(SEARCH($H$10,E363)))</formula>
      <formula>$H$10</formula>
    </cfRule>
    <cfRule type="containsText" dxfId="5570" priority="7499" operator="containsText" text="$H$11">
      <formula>NOT(ISERROR(SEARCH($H$11,E363)))</formula>
      <formula>$H$11</formula>
    </cfRule>
    <cfRule type="containsText" dxfId="5569" priority="7498" operator="containsText" text="$H$12">
      <formula>NOT(ISERROR(SEARCH($H$12,E363)))</formula>
      <formula>$H$12</formula>
    </cfRule>
    <cfRule type="containsText" dxfId="5568" priority="7497" operator="containsText" text="$H$13">
      <formula>NOT(ISERROR(SEARCH($H$13,E363)))</formula>
      <formula>$H$13</formula>
    </cfRule>
  </conditionalFormatting>
  <conditionalFormatting sqref="E363">
    <cfRule type="containsText" dxfId="5567" priority="7496" operator="containsText" text="$H$7">
      <formula>NOT(ISERROR(SEARCH($H$7,E363)))</formula>
      <formula>$H$7</formula>
    </cfRule>
    <cfRule type="containsText" dxfId="5566" priority="7495" operator="containsText" text="$H$8">
      <formula>NOT(ISERROR(SEARCH($H$8,E363)))</formula>
      <formula>$H$8</formula>
    </cfRule>
    <cfRule type="containsText" dxfId="5565" priority="7494" operator="containsText" text="$H$8">
      <formula>NOT(ISERROR(SEARCH($H$8,E363)))</formula>
      <formula>$H$8</formula>
    </cfRule>
    <cfRule type="containsText" dxfId="5564" priority="7493" operator="containsText" text="$H$9">
      <formula>NOT(ISERROR(SEARCH($H$9,E363)))</formula>
      <formula>$H$9</formula>
    </cfRule>
    <cfRule type="containsText" dxfId="5563" priority="7492" operator="containsText" text="$H$10">
      <formula>NOT(ISERROR(SEARCH($H$10,E363)))</formula>
      <formula>$H$10</formula>
    </cfRule>
    <cfRule type="containsText" dxfId="5562" priority="7491" operator="containsText" text="$H$11">
      <formula>NOT(ISERROR(SEARCH($H$11,E363)))</formula>
      <formula>$H$11</formula>
    </cfRule>
    <cfRule type="containsText" dxfId="5561" priority="7490" operator="containsText" text="$H$12">
      <formula>NOT(ISERROR(SEARCH($H$12,E363)))</formula>
      <formula>$H$12</formula>
    </cfRule>
    <cfRule type="containsText" dxfId="5560" priority="7489" operator="containsText" text="$H$13">
      <formula>NOT(ISERROR(SEARCH($H$13,E363)))</formula>
      <formula>$H$13</formula>
    </cfRule>
  </conditionalFormatting>
  <conditionalFormatting sqref="E361">
    <cfRule type="containsText" dxfId="5559" priority="7488" operator="containsText" text="$H$7">
      <formula>NOT(ISERROR(SEARCH($H$7,E361)))</formula>
      <formula>$H$7</formula>
    </cfRule>
    <cfRule type="containsText" dxfId="5558" priority="7487" operator="containsText" text="$H$8">
      <formula>NOT(ISERROR(SEARCH($H$8,E361)))</formula>
      <formula>$H$8</formula>
    </cfRule>
    <cfRule type="containsText" dxfId="5557" priority="7486" operator="containsText" text="$H$8">
      <formula>NOT(ISERROR(SEARCH($H$8,E361)))</formula>
      <formula>$H$8</formula>
    </cfRule>
    <cfRule type="containsText" dxfId="5556" priority="7485" operator="containsText" text="$H$9">
      <formula>NOT(ISERROR(SEARCH($H$9,E361)))</formula>
      <formula>$H$9</formula>
    </cfRule>
    <cfRule type="containsText" dxfId="5555" priority="7484" operator="containsText" text="$H$10">
      <formula>NOT(ISERROR(SEARCH($H$10,E361)))</formula>
      <formula>$H$10</formula>
    </cfRule>
    <cfRule type="containsText" dxfId="5554" priority="7483" operator="containsText" text="$H$11">
      <formula>NOT(ISERROR(SEARCH($H$11,E361)))</formula>
      <formula>$H$11</formula>
    </cfRule>
    <cfRule type="containsText" dxfId="5553" priority="7482" operator="containsText" text="$H$12">
      <formula>NOT(ISERROR(SEARCH($H$12,E361)))</formula>
      <formula>$H$12</formula>
    </cfRule>
    <cfRule type="containsText" dxfId="5552" priority="7481" operator="containsText" text="$H$13">
      <formula>NOT(ISERROR(SEARCH($H$13,E361)))</formula>
      <formula>$H$13</formula>
    </cfRule>
  </conditionalFormatting>
  <conditionalFormatting sqref="E361">
    <cfRule type="containsText" dxfId="5551" priority="7480" operator="containsText" text="$H$7">
      <formula>NOT(ISERROR(SEARCH($H$7,E361)))</formula>
      <formula>$H$7</formula>
    </cfRule>
    <cfRule type="containsText" dxfId="5550" priority="7479" operator="containsText" text="$H$8">
      <formula>NOT(ISERROR(SEARCH($H$8,E361)))</formula>
      <formula>$H$8</formula>
    </cfRule>
    <cfRule type="containsText" dxfId="5549" priority="7478" operator="containsText" text="$H$8">
      <formula>NOT(ISERROR(SEARCH($H$8,E361)))</formula>
      <formula>$H$8</formula>
    </cfRule>
    <cfRule type="containsText" dxfId="5548" priority="7477" operator="containsText" text="$H$9">
      <formula>NOT(ISERROR(SEARCH($H$9,E361)))</formula>
      <formula>$H$9</formula>
    </cfRule>
    <cfRule type="containsText" dxfId="5547" priority="7476" operator="containsText" text="$H$10">
      <formula>NOT(ISERROR(SEARCH($H$10,E361)))</formula>
      <formula>$H$10</formula>
    </cfRule>
    <cfRule type="containsText" dxfId="5546" priority="7475" operator="containsText" text="$H$11">
      <formula>NOT(ISERROR(SEARCH($H$11,E361)))</formula>
      <formula>$H$11</formula>
    </cfRule>
    <cfRule type="containsText" dxfId="5545" priority="7474" operator="containsText" text="$H$12">
      <formula>NOT(ISERROR(SEARCH($H$12,E361)))</formula>
      <formula>$H$12</formula>
    </cfRule>
    <cfRule type="containsText" dxfId="5544" priority="7473" operator="containsText" text="$H$13">
      <formula>NOT(ISERROR(SEARCH($H$13,E361)))</formula>
      <formula>$H$13</formula>
    </cfRule>
  </conditionalFormatting>
  <conditionalFormatting sqref="E359">
    <cfRule type="containsText" dxfId="5543" priority="7472" operator="containsText" text="$H$7">
      <formula>NOT(ISERROR(SEARCH($H$7,E359)))</formula>
      <formula>$H$7</formula>
    </cfRule>
    <cfRule type="containsText" dxfId="5542" priority="7471" operator="containsText" text="$H$8">
      <formula>NOT(ISERROR(SEARCH($H$8,E359)))</formula>
      <formula>$H$8</formula>
    </cfRule>
    <cfRule type="containsText" dxfId="5541" priority="7470" operator="containsText" text="$H$8">
      <formula>NOT(ISERROR(SEARCH($H$8,E359)))</formula>
      <formula>$H$8</formula>
    </cfRule>
    <cfRule type="containsText" dxfId="5540" priority="7469" operator="containsText" text="$H$9">
      <formula>NOT(ISERROR(SEARCH($H$9,E359)))</formula>
      <formula>$H$9</formula>
    </cfRule>
    <cfRule type="containsText" dxfId="5539" priority="7468" operator="containsText" text="$H$10">
      <formula>NOT(ISERROR(SEARCH($H$10,E359)))</formula>
      <formula>$H$10</formula>
    </cfRule>
    <cfRule type="containsText" dxfId="5538" priority="7467" operator="containsText" text="$H$11">
      <formula>NOT(ISERROR(SEARCH($H$11,E359)))</formula>
      <formula>$H$11</formula>
    </cfRule>
    <cfRule type="containsText" dxfId="5537" priority="7466" operator="containsText" text="$H$12">
      <formula>NOT(ISERROR(SEARCH($H$12,E359)))</formula>
      <formula>$H$12</formula>
    </cfRule>
    <cfRule type="containsText" dxfId="5536" priority="7465" operator="containsText" text="$H$13">
      <formula>NOT(ISERROR(SEARCH($H$13,E359)))</formula>
      <formula>$H$13</formula>
    </cfRule>
  </conditionalFormatting>
  <conditionalFormatting sqref="E359">
    <cfRule type="containsText" dxfId="5535" priority="7464" operator="containsText" text="$H$7">
      <formula>NOT(ISERROR(SEARCH($H$7,E359)))</formula>
      <formula>$H$7</formula>
    </cfRule>
    <cfRule type="containsText" dxfId="5534" priority="7463" operator="containsText" text="$H$8">
      <formula>NOT(ISERROR(SEARCH($H$8,E359)))</formula>
      <formula>$H$8</formula>
    </cfRule>
    <cfRule type="containsText" dxfId="5533" priority="7462" operator="containsText" text="$H$8">
      <formula>NOT(ISERROR(SEARCH($H$8,E359)))</formula>
      <formula>$H$8</formula>
    </cfRule>
    <cfRule type="containsText" dxfId="5532" priority="7461" operator="containsText" text="$H$9">
      <formula>NOT(ISERROR(SEARCH($H$9,E359)))</formula>
      <formula>$H$9</formula>
    </cfRule>
    <cfRule type="containsText" dxfId="5531" priority="7460" operator="containsText" text="$H$10">
      <formula>NOT(ISERROR(SEARCH($H$10,E359)))</formula>
      <formula>$H$10</formula>
    </cfRule>
    <cfRule type="containsText" dxfId="5530" priority="7459" operator="containsText" text="$H$11">
      <formula>NOT(ISERROR(SEARCH($H$11,E359)))</formula>
      <formula>$H$11</formula>
    </cfRule>
    <cfRule type="containsText" dxfId="5529" priority="7458" operator="containsText" text="$H$12">
      <formula>NOT(ISERROR(SEARCH($H$12,E359)))</formula>
      <formula>$H$12</formula>
    </cfRule>
    <cfRule type="containsText" dxfId="5528" priority="7457" operator="containsText" text="$H$13">
      <formula>NOT(ISERROR(SEARCH($H$13,E359)))</formula>
      <formula>$H$13</formula>
    </cfRule>
  </conditionalFormatting>
  <conditionalFormatting sqref="E357">
    <cfRule type="containsText" dxfId="5527" priority="7456" operator="containsText" text="$H$7">
      <formula>NOT(ISERROR(SEARCH($H$7,E357)))</formula>
      <formula>$H$7</formula>
    </cfRule>
    <cfRule type="containsText" dxfId="5526" priority="7455" operator="containsText" text="$H$8">
      <formula>NOT(ISERROR(SEARCH($H$8,E357)))</formula>
      <formula>$H$8</formula>
    </cfRule>
    <cfRule type="containsText" dxfId="5525" priority="7454" operator="containsText" text="$H$8">
      <formula>NOT(ISERROR(SEARCH($H$8,E357)))</formula>
      <formula>$H$8</formula>
    </cfRule>
    <cfRule type="containsText" dxfId="5524" priority="7453" operator="containsText" text="$H$9">
      <formula>NOT(ISERROR(SEARCH($H$9,E357)))</formula>
      <formula>$H$9</formula>
    </cfRule>
    <cfRule type="containsText" dxfId="5523" priority="7452" operator="containsText" text="$H$10">
      <formula>NOT(ISERROR(SEARCH($H$10,E357)))</formula>
      <formula>$H$10</formula>
    </cfRule>
    <cfRule type="containsText" dxfId="5522" priority="7451" operator="containsText" text="$H$11">
      <formula>NOT(ISERROR(SEARCH($H$11,E357)))</formula>
      <formula>$H$11</formula>
    </cfRule>
    <cfRule type="containsText" dxfId="5521" priority="7450" operator="containsText" text="$H$12">
      <formula>NOT(ISERROR(SEARCH($H$12,E357)))</formula>
      <formula>$H$12</formula>
    </cfRule>
    <cfRule type="containsText" dxfId="5520" priority="7449" operator="containsText" text="$H$13">
      <formula>NOT(ISERROR(SEARCH($H$13,E357)))</formula>
      <formula>$H$13</formula>
    </cfRule>
  </conditionalFormatting>
  <conditionalFormatting sqref="E357">
    <cfRule type="containsText" dxfId="5519" priority="7448" operator="containsText" text="$H$7">
      <formula>NOT(ISERROR(SEARCH($H$7,E357)))</formula>
      <formula>$H$7</formula>
    </cfRule>
    <cfRule type="containsText" dxfId="5518" priority="7447" operator="containsText" text="$H$8">
      <formula>NOT(ISERROR(SEARCH($H$8,E357)))</formula>
      <formula>$H$8</formula>
    </cfRule>
    <cfRule type="containsText" dxfId="5517" priority="7446" operator="containsText" text="$H$8">
      <formula>NOT(ISERROR(SEARCH($H$8,E357)))</formula>
      <formula>$H$8</formula>
    </cfRule>
    <cfRule type="containsText" dxfId="5516" priority="7445" operator="containsText" text="$H$9">
      <formula>NOT(ISERROR(SEARCH($H$9,E357)))</formula>
      <formula>$H$9</formula>
    </cfRule>
    <cfRule type="containsText" dxfId="5515" priority="7444" operator="containsText" text="$H$10">
      <formula>NOT(ISERROR(SEARCH($H$10,E357)))</formula>
      <formula>$H$10</formula>
    </cfRule>
    <cfRule type="containsText" dxfId="5514" priority="7443" operator="containsText" text="$H$11">
      <formula>NOT(ISERROR(SEARCH($H$11,E357)))</formula>
      <formula>$H$11</formula>
    </cfRule>
    <cfRule type="containsText" dxfId="5513" priority="7442" operator="containsText" text="$H$12">
      <formula>NOT(ISERROR(SEARCH($H$12,E357)))</formula>
      <formula>$H$12</formula>
    </cfRule>
    <cfRule type="containsText" dxfId="5512" priority="7441" operator="containsText" text="$H$13">
      <formula>NOT(ISERROR(SEARCH($H$13,E357)))</formula>
      <formula>$H$13</formula>
    </cfRule>
  </conditionalFormatting>
  <conditionalFormatting sqref="B375">
    <cfRule type="containsText" dxfId="5511" priority="7344" operator="containsText" text="$H$7">
      <formula>NOT(ISERROR(SEARCH($H$7,B375)))</formula>
      <formula>$H$7</formula>
    </cfRule>
    <cfRule type="containsText" dxfId="5510" priority="7343" operator="containsText" text="$H$8">
      <formula>NOT(ISERROR(SEARCH($H$8,B375)))</formula>
      <formula>$H$8</formula>
    </cfRule>
    <cfRule type="containsText" dxfId="5509" priority="7342" operator="containsText" text="$H$8">
      <formula>NOT(ISERROR(SEARCH($H$8,B375)))</formula>
      <formula>$H$8</formula>
    </cfRule>
    <cfRule type="containsText" dxfId="5508" priority="7341" operator="containsText" text="$H$9">
      <formula>NOT(ISERROR(SEARCH($H$9,B375)))</formula>
      <formula>$H$9</formula>
    </cfRule>
    <cfRule type="containsText" dxfId="5507" priority="7340" operator="containsText" text="$H$10">
      <formula>NOT(ISERROR(SEARCH($H$10,B375)))</formula>
      <formula>$H$10</formula>
    </cfRule>
    <cfRule type="containsText" dxfId="5506" priority="7339" operator="containsText" text="$H$11">
      <formula>NOT(ISERROR(SEARCH($H$11,B375)))</formula>
      <formula>$H$11</formula>
    </cfRule>
    <cfRule type="containsText" dxfId="5505" priority="7338" operator="containsText" text="$H$12">
      <formula>NOT(ISERROR(SEARCH($H$12,B375)))</formula>
      <formula>$H$12</formula>
    </cfRule>
    <cfRule type="containsText" dxfId="5504" priority="7337" operator="containsText" text="$H$13">
      <formula>NOT(ISERROR(SEARCH($H$13,B375)))</formula>
      <formula>$H$13</formula>
    </cfRule>
  </conditionalFormatting>
  <conditionalFormatting sqref="B375">
    <cfRule type="containsText" dxfId="5503" priority="7336" operator="containsText" text="$H$7">
      <formula>NOT(ISERROR(SEARCH($H$7,B375)))</formula>
      <formula>$H$7</formula>
    </cfRule>
    <cfRule type="containsText" dxfId="5502" priority="7335" operator="containsText" text="$H$8">
      <formula>NOT(ISERROR(SEARCH($H$8,B375)))</formula>
      <formula>$H$8</formula>
    </cfRule>
    <cfRule type="containsText" dxfId="5501" priority="7334" operator="containsText" text="$H$8">
      <formula>NOT(ISERROR(SEARCH($H$8,B375)))</formula>
      <formula>$H$8</formula>
    </cfRule>
    <cfRule type="containsText" dxfId="5500" priority="7333" operator="containsText" text="$H$9">
      <formula>NOT(ISERROR(SEARCH($H$9,B375)))</formula>
      <formula>$H$9</formula>
    </cfRule>
    <cfRule type="containsText" dxfId="5499" priority="7332" operator="containsText" text="$H$10">
      <formula>NOT(ISERROR(SEARCH($H$10,B375)))</formula>
      <formula>$H$10</formula>
    </cfRule>
    <cfRule type="containsText" dxfId="5498" priority="7331" operator="containsText" text="$H$11">
      <formula>NOT(ISERROR(SEARCH($H$11,B375)))</formula>
      <formula>$H$11</formula>
    </cfRule>
    <cfRule type="containsText" dxfId="5497" priority="7330" operator="containsText" text="$H$12">
      <formula>NOT(ISERROR(SEARCH($H$12,B375)))</formula>
      <formula>$H$12</formula>
    </cfRule>
    <cfRule type="containsText" dxfId="5496" priority="7329" operator="containsText" text="$H$13">
      <formula>NOT(ISERROR(SEARCH($H$13,B375)))</formula>
      <formula>$H$13</formula>
    </cfRule>
  </conditionalFormatting>
  <conditionalFormatting sqref="C384:C385">
    <cfRule type="containsText" dxfId="5495" priority="6968" operator="containsText" text="$H$7">
      <formula>NOT(ISERROR(SEARCH($H$7,C384)))</formula>
      <formula>$H$7</formula>
    </cfRule>
    <cfRule type="containsText" dxfId="5494" priority="6967" operator="containsText" text="$H$8">
      <formula>NOT(ISERROR(SEARCH($H$8,C384)))</formula>
      <formula>$H$8</formula>
    </cfRule>
    <cfRule type="containsText" dxfId="5493" priority="6966" operator="containsText" text="$H$8">
      <formula>NOT(ISERROR(SEARCH($H$8,C384)))</formula>
      <formula>$H$8</formula>
    </cfRule>
    <cfRule type="containsText" dxfId="5492" priority="6965" operator="containsText" text="$H$9">
      <formula>NOT(ISERROR(SEARCH($H$9,C384)))</formula>
      <formula>$H$9</formula>
    </cfRule>
    <cfRule type="containsText" dxfId="5491" priority="6964" operator="containsText" text="$H$10">
      <formula>NOT(ISERROR(SEARCH($H$10,C384)))</formula>
      <formula>$H$10</formula>
    </cfRule>
    <cfRule type="containsText" dxfId="5490" priority="6963" operator="containsText" text="$H$11">
      <formula>NOT(ISERROR(SEARCH($H$11,C384)))</formula>
      <formula>$H$11</formula>
    </cfRule>
    <cfRule type="containsText" dxfId="5489" priority="6962" operator="containsText" text="$H$12">
      <formula>NOT(ISERROR(SEARCH($H$12,C384)))</formula>
      <formula>$H$12</formula>
    </cfRule>
    <cfRule type="containsText" dxfId="5488" priority="6961" operator="containsText" text="$H$13">
      <formula>NOT(ISERROR(SEARCH($H$13,C384)))</formula>
      <formula>$H$13</formula>
    </cfRule>
  </conditionalFormatting>
  <conditionalFormatting sqref="C386:C387">
    <cfRule type="containsText" dxfId="5487" priority="6960" operator="containsText" text="$H$7">
      <formula>NOT(ISERROR(SEARCH($H$7,C386)))</formula>
      <formula>$H$7</formula>
    </cfRule>
    <cfRule type="containsText" dxfId="5486" priority="6959" operator="containsText" text="$H$8">
      <formula>NOT(ISERROR(SEARCH($H$8,C386)))</formula>
      <formula>$H$8</formula>
    </cfRule>
    <cfRule type="containsText" dxfId="5485" priority="6958" operator="containsText" text="$H$8">
      <formula>NOT(ISERROR(SEARCH($H$8,C386)))</formula>
      <formula>$H$8</formula>
    </cfRule>
    <cfRule type="containsText" dxfId="5484" priority="6957" operator="containsText" text="$H$9">
      <formula>NOT(ISERROR(SEARCH($H$9,C386)))</formula>
      <formula>$H$9</formula>
    </cfRule>
    <cfRule type="containsText" dxfId="5483" priority="6956" operator="containsText" text="$H$10">
      <formula>NOT(ISERROR(SEARCH($H$10,C386)))</formula>
      <formula>$H$10</formula>
    </cfRule>
    <cfRule type="containsText" dxfId="5482" priority="6955" operator="containsText" text="$H$11">
      <formula>NOT(ISERROR(SEARCH($H$11,C386)))</formula>
      <formula>$H$11</formula>
    </cfRule>
    <cfRule type="containsText" dxfId="5481" priority="6954" operator="containsText" text="$H$12">
      <formula>NOT(ISERROR(SEARCH($H$12,C386)))</formula>
      <formula>$H$12</formula>
    </cfRule>
    <cfRule type="containsText" dxfId="5480" priority="6953" operator="containsText" text="$H$13">
      <formula>NOT(ISERROR(SEARCH($H$13,C386)))</formula>
      <formula>$H$13</formula>
    </cfRule>
  </conditionalFormatting>
  <conditionalFormatting sqref="C388:C389">
    <cfRule type="containsText" dxfId="5479" priority="6952" operator="containsText" text="$H$7">
      <formula>NOT(ISERROR(SEARCH($H$7,C388)))</formula>
      <formula>$H$7</formula>
    </cfRule>
    <cfRule type="containsText" dxfId="5478" priority="6951" operator="containsText" text="$H$8">
      <formula>NOT(ISERROR(SEARCH($H$8,C388)))</formula>
      <formula>$H$8</formula>
    </cfRule>
    <cfRule type="containsText" dxfId="5477" priority="6950" operator="containsText" text="$H$8">
      <formula>NOT(ISERROR(SEARCH($H$8,C388)))</formula>
      <formula>$H$8</formula>
    </cfRule>
    <cfRule type="containsText" dxfId="5476" priority="6949" operator="containsText" text="$H$9">
      <formula>NOT(ISERROR(SEARCH($H$9,C388)))</formula>
      <formula>$H$9</formula>
    </cfRule>
    <cfRule type="containsText" dxfId="5475" priority="6948" operator="containsText" text="$H$10">
      <formula>NOT(ISERROR(SEARCH($H$10,C388)))</formula>
      <formula>$H$10</formula>
    </cfRule>
    <cfRule type="containsText" dxfId="5474" priority="6947" operator="containsText" text="$H$11">
      <formula>NOT(ISERROR(SEARCH($H$11,C388)))</formula>
      <formula>$H$11</formula>
    </cfRule>
    <cfRule type="containsText" dxfId="5473" priority="6946" operator="containsText" text="$H$12">
      <formula>NOT(ISERROR(SEARCH($H$12,C388)))</formula>
      <formula>$H$12</formula>
    </cfRule>
    <cfRule type="containsText" dxfId="5472" priority="6945" operator="containsText" text="$H$13">
      <formula>NOT(ISERROR(SEARCH($H$13,C388)))</formula>
      <formula>$H$13</formula>
    </cfRule>
  </conditionalFormatting>
  <conditionalFormatting sqref="C390:C391">
    <cfRule type="containsText" dxfId="5471" priority="6944" operator="containsText" text="$H$7">
      <formula>NOT(ISERROR(SEARCH($H$7,C390)))</formula>
      <formula>$H$7</formula>
    </cfRule>
    <cfRule type="containsText" dxfId="5470" priority="6943" operator="containsText" text="$H$8">
      <formula>NOT(ISERROR(SEARCH($H$8,C390)))</formula>
      <formula>$H$8</formula>
    </cfRule>
    <cfRule type="containsText" dxfId="5469" priority="6942" operator="containsText" text="$H$8">
      <formula>NOT(ISERROR(SEARCH($H$8,C390)))</formula>
      <formula>$H$8</formula>
    </cfRule>
    <cfRule type="containsText" dxfId="5468" priority="6941" operator="containsText" text="$H$9">
      <formula>NOT(ISERROR(SEARCH($H$9,C390)))</formula>
      <formula>$H$9</formula>
    </cfRule>
    <cfRule type="containsText" dxfId="5467" priority="6940" operator="containsText" text="$H$10">
      <formula>NOT(ISERROR(SEARCH($H$10,C390)))</formula>
      <formula>$H$10</formula>
    </cfRule>
    <cfRule type="containsText" dxfId="5466" priority="6939" operator="containsText" text="$H$11">
      <formula>NOT(ISERROR(SEARCH($H$11,C390)))</formula>
      <formula>$H$11</formula>
    </cfRule>
    <cfRule type="containsText" dxfId="5465" priority="6938" operator="containsText" text="$H$12">
      <formula>NOT(ISERROR(SEARCH($H$12,C390)))</formula>
      <formula>$H$12</formula>
    </cfRule>
    <cfRule type="containsText" dxfId="5464" priority="6937" operator="containsText" text="$H$13">
      <formula>NOT(ISERROR(SEARCH($H$13,C390)))</formula>
      <formula>$H$13</formula>
    </cfRule>
  </conditionalFormatting>
  <conditionalFormatting sqref="C392">
    <cfRule type="containsText" dxfId="5463" priority="6936" operator="containsText" text="$H$7">
      <formula>NOT(ISERROR(SEARCH($H$7,C392)))</formula>
      <formula>$H$7</formula>
    </cfRule>
    <cfRule type="containsText" dxfId="5462" priority="6935" operator="containsText" text="$H$8">
      <formula>NOT(ISERROR(SEARCH($H$8,C392)))</formula>
      <formula>$H$8</formula>
    </cfRule>
    <cfRule type="containsText" dxfId="5461" priority="6934" operator="containsText" text="$H$8">
      <formula>NOT(ISERROR(SEARCH($H$8,C392)))</formula>
      <formula>$H$8</formula>
    </cfRule>
    <cfRule type="containsText" dxfId="5460" priority="6933" operator="containsText" text="$H$9">
      <formula>NOT(ISERROR(SEARCH($H$9,C392)))</formula>
      <formula>$H$9</formula>
    </cfRule>
    <cfRule type="containsText" dxfId="5459" priority="6932" operator="containsText" text="$H$10">
      <formula>NOT(ISERROR(SEARCH($H$10,C392)))</formula>
      <formula>$H$10</formula>
    </cfRule>
    <cfRule type="containsText" dxfId="5458" priority="6931" operator="containsText" text="$H$11">
      <formula>NOT(ISERROR(SEARCH($H$11,C392)))</formula>
      <formula>$H$11</formula>
    </cfRule>
    <cfRule type="containsText" dxfId="5457" priority="6930" operator="containsText" text="$H$12">
      <formula>NOT(ISERROR(SEARCH($H$12,C392)))</formula>
      <formula>$H$12</formula>
    </cfRule>
    <cfRule type="containsText" dxfId="5456" priority="6929" operator="containsText" text="$H$13">
      <formula>NOT(ISERROR(SEARCH($H$13,C392)))</formula>
      <formula>$H$13</formula>
    </cfRule>
  </conditionalFormatting>
  <conditionalFormatting sqref="C394">
    <cfRule type="containsText" dxfId="5455" priority="6928" operator="containsText" text="$H$7">
      <formula>NOT(ISERROR(SEARCH($H$7,C394)))</formula>
      <formula>$H$7</formula>
    </cfRule>
    <cfRule type="containsText" dxfId="5454" priority="6927" operator="containsText" text="$H$8">
      <formula>NOT(ISERROR(SEARCH($H$8,C394)))</formula>
      <formula>$H$8</formula>
    </cfRule>
    <cfRule type="containsText" dxfId="5453" priority="6926" operator="containsText" text="$H$8">
      <formula>NOT(ISERROR(SEARCH($H$8,C394)))</formula>
      <formula>$H$8</formula>
    </cfRule>
    <cfRule type="containsText" dxfId="5452" priority="6925" operator="containsText" text="$H$9">
      <formula>NOT(ISERROR(SEARCH($H$9,C394)))</formula>
      <formula>$H$9</formula>
    </cfRule>
    <cfRule type="containsText" dxfId="5451" priority="6924" operator="containsText" text="$H$10">
      <formula>NOT(ISERROR(SEARCH($H$10,C394)))</formula>
      <formula>$H$10</formula>
    </cfRule>
    <cfRule type="containsText" dxfId="5450" priority="6923" operator="containsText" text="$H$11">
      <formula>NOT(ISERROR(SEARCH($H$11,C394)))</formula>
      <formula>$H$11</formula>
    </cfRule>
    <cfRule type="containsText" dxfId="5449" priority="6922" operator="containsText" text="$H$12">
      <formula>NOT(ISERROR(SEARCH($H$12,C394)))</formula>
      <formula>$H$12</formula>
    </cfRule>
    <cfRule type="containsText" dxfId="5448" priority="6921" operator="containsText" text="$H$13">
      <formula>NOT(ISERROR(SEARCH($H$13,C394)))</formula>
      <formula>$H$13</formula>
    </cfRule>
  </conditionalFormatting>
  <conditionalFormatting sqref="C396">
    <cfRule type="containsText" dxfId="5447" priority="6920" operator="containsText" text="$H$7">
      <formula>NOT(ISERROR(SEARCH($H$7,C396)))</formula>
      <formula>$H$7</formula>
    </cfRule>
    <cfRule type="containsText" dxfId="5446" priority="6919" operator="containsText" text="$H$8">
      <formula>NOT(ISERROR(SEARCH($H$8,C396)))</formula>
      <formula>$H$8</formula>
    </cfRule>
    <cfRule type="containsText" dxfId="5445" priority="6918" operator="containsText" text="$H$8">
      <formula>NOT(ISERROR(SEARCH($H$8,C396)))</formula>
      <formula>$H$8</formula>
    </cfRule>
    <cfRule type="containsText" dxfId="5444" priority="6917" operator="containsText" text="$H$9">
      <formula>NOT(ISERROR(SEARCH($H$9,C396)))</formula>
      <formula>$H$9</formula>
    </cfRule>
    <cfRule type="containsText" dxfId="5443" priority="6916" operator="containsText" text="$H$10">
      <formula>NOT(ISERROR(SEARCH($H$10,C396)))</formula>
      <formula>$H$10</formula>
    </cfRule>
    <cfRule type="containsText" dxfId="5442" priority="6915" operator="containsText" text="$H$11">
      <formula>NOT(ISERROR(SEARCH($H$11,C396)))</formula>
      <formula>$H$11</formula>
    </cfRule>
    <cfRule type="containsText" dxfId="5441" priority="6914" operator="containsText" text="$H$12">
      <formula>NOT(ISERROR(SEARCH($H$12,C396)))</formula>
      <formula>$H$12</formula>
    </cfRule>
    <cfRule type="containsText" dxfId="5440" priority="6913" operator="containsText" text="$H$13">
      <formula>NOT(ISERROR(SEARCH($H$13,C396)))</formula>
      <formula>$H$13</formula>
    </cfRule>
  </conditionalFormatting>
  <conditionalFormatting sqref="C398">
    <cfRule type="containsText" dxfId="5439" priority="6912" operator="containsText" text="$H$7">
      <formula>NOT(ISERROR(SEARCH($H$7,C398)))</formula>
      <formula>$H$7</formula>
    </cfRule>
    <cfRule type="containsText" dxfId="5438" priority="6911" operator="containsText" text="$H$8">
      <formula>NOT(ISERROR(SEARCH($H$8,C398)))</formula>
      <formula>$H$8</formula>
    </cfRule>
    <cfRule type="containsText" dxfId="5437" priority="6910" operator="containsText" text="$H$8">
      <formula>NOT(ISERROR(SEARCH($H$8,C398)))</formula>
      <formula>$H$8</formula>
    </cfRule>
    <cfRule type="containsText" dxfId="5436" priority="6909" operator="containsText" text="$H$9">
      <formula>NOT(ISERROR(SEARCH($H$9,C398)))</formula>
      <formula>$H$9</formula>
    </cfRule>
    <cfRule type="containsText" dxfId="5435" priority="6908" operator="containsText" text="$H$10">
      <formula>NOT(ISERROR(SEARCH($H$10,C398)))</formula>
      <formula>$H$10</formula>
    </cfRule>
    <cfRule type="containsText" dxfId="5434" priority="6907" operator="containsText" text="$H$11">
      <formula>NOT(ISERROR(SEARCH($H$11,C398)))</formula>
      <formula>$H$11</formula>
    </cfRule>
    <cfRule type="containsText" dxfId="5433" priority="6906" operator="containsText" text="$H$12">
      <formula>NOT(ISERROR(SEARCH($H$12,C398)))</formula>
      <formula>$H$12</formula>
    </cfRule>
    <cfRule type="containsText" dxfId="5432" priority="6905" operator="containsText" text="$H$13">
      <formula>NOT(ISERROR(SEARCH($H$13,C398)))</formula>
      <formula>$H$13</formula>
    </cfRule>
  </conditionalFormatting>
  <conditionalFormatting sqref="D384:D385">
    <cfRule type="containsText" dxfId="5431" priority="6904" operator="containsText" text="$H$7">
      <formula>NOT(ISERROR(SEARCH($H$7,D384)))</formula>
      <formula>$H$7</formula>
    </cfRule>
    <cfRule type="containsText" dxfId="5430" priority="6903" operator="containsText" text="$H$8">
      <formula>NOT(ISERROR(SEARCH($H$8,D384)))</formula>
      <formula>$H$8</formula>
    </cfRule>
    <cfRule type="containsText" dxfId="5429" priority="6902" operator="containsText" text="$H$8">
      <formula>NOT(ISERROR(SEARCH($H$8,D384)))</formula>
      <formula>$H$8</formula>
    </cfRule>
    <cfRule type="containsText" dxfId="5428" priority="6901" operator="containsText" text="$H$9">
      <formula>NOT(ISERROR(SEARCH($H$9,D384)))</formula>
      <formula>$H$9</formula>
    </cfRule>
    <cfRule type="containsText" dxfId="5427" priority="6900" operator="containsText" text="$H$10">
      <formula>NOT(ISERROR(SEARCH($H$10,D384)))</formula>
      <formula>$H$10</formula>
    </cfRule>
    <cfRule type="containsText" dxfId="5426" priority="6899" operator="containsText" text="$H$11">
      <formula>NOT(ISERROR(SEARCH($H$11,D384)))</formula>
      <formula>$H$11</formula>
    </cfRule>
    <cfRule type="containsText" dxfId="5425" priority="6898" operator="containsText" text="$H$12">
      <formula>NOT(ISERROR(SEARCH($H$12,D384)))</formula>
      <formula>$H$12</formula>
    </cfRule>
    <cfRule type="containsText" dxfId="5424" priority="6897" operator="containsText" text="$H$13">
      <formula>NOT(ISERROR(SEARCH($H$13,D384)))</formula>
      <formula>$H$13</formula>
    </cfRule>
  </conditionalFormatting>
  <conditionalFormatting sqref="D386">
    <cfRule type="containsText" dxfId="5423" priority="6896" operator="containsText" text="$H$7">
      <formula>NOT(ISERROR(SEARCH($H$7,D386)))</formula>
      <formula>$H$7</formula>
    </cfRule>
    <cfRule type="containsText" dxfId="5422" priority="6895" operator="containsText" text="$H$8">
      <formula>NOT(ISERROR(SEARCH($H$8,D386)))</formula>
      <formula>$H$8</formula>
    </cfRule>
    <cfRule type="containsText" dxfId="5421" priority="6894" operator="containsText" text="$H$8">
      <formula>NOT(ISERROR(SEARCH($H$8,D386)))</formula>
      <formula>$H$8</formula>
    </cfRule>
    <cfRule type="containsText" dxfId="5420" priority="6893" operator="containsText" text="$H$9">
      <formula>NOT(ISERROR(SEARCH($H$9,D386)))</formula>
      <formula>$H$9</formula>
    </cfRule>
    <cfRule type="containsText" dxfId="5419" priority="6892" operator="containsText" text="$H$10">
      <formula>NOT(ISERROR(SEARCH($H$10,D386)))</formula>
      <formula>$H$10</formula>
    </cfRule>
    <cfRule type="containsText" dxfId="5418" priority="6891" operator="containsText" text="$H$11">
      <formula>NOT(ISERROR(SEARCH($H$11,D386)))</formula>
      <formula>$H$11</formula>
    </cfRule>
    <cfRule type="containsText" dxfId="5417" priority="6890" operator="containsText" text="$H$12">
      <formula>NOT(ISERROR(SEARCH($H$12,D386)))</formula>
      <formula>$H$12</formula>
    </cfRule>
    <cfRule type="containsText" dxfId="5416" priority="6889" operator="containsText" text="$H$13">
      <formula>NOT(ISERROR(SEARCH($H$13,D386)))</formula>
      <formula>$H$13</formula>
    </cfRule>
  </conditionalFormatting>
  <conditionalFormatting sqref="D388">
    <cfRule type="containsText" dxfId="5415" priority="6888" operator="containsText" text="$H$7">
      <formula>NOT(ISERROR(SEARCH($H$7,D388)))</formula>
      <formula>$H$7</formula>
    </cfRule>
    <cfRule type="containsText" dxfId="5414" priority="6887" operator="containsText" text="$H$8">
      <formula>NOT(ISERROR(SEARCH($H$8,D388)))</formula>
      <formula>$H$8</formula>
    </cfRule>
    <cfRule type="containsText" dxfId="5413" priority="6886" operator="containsText" text="$H$8">
      <formula>NOT(ISERROR(SEARCH($H$8,D388)))</formula>
      <formula>$H$8</formula>
    </cfRule>
    <cfRule type="containsText" dxfId="5412" priority="6885" operator="containsText" text="$H$9">
      <formula>NOT(ISERROR(SEARCH($H$9,D388)))</formula>
      <formula>$H$9</formula>
    </cfRule>
    <cfRule type="containsText" dxfId="5411" priority="6884" operator="containsText" text="$H$10">
      <formula>NOT(ISERROR(SEARCH($H$10,D388)))</formula>
      <formula>$H$10</formula>
    </cfRule>
    <cfRule type="containsText" dxfId="5410" priority="6883" operator="containsText" text="$H$11">
      <formula>NOT(ISERROR(SEARCH($H$11,D388)))</formula>
      <formula>$H$11</formula>
    </cfRule>
    <cfRule type="containsText" dxfId="5409" priority="6882" operator="containsText" text="$H$12">
      <formula>NOT(ISERROR(SEARCH($H$12,D388)))</formula>
      <formula>$H$12</formula>
    </cfRule>
    <cfRule type="containsText" dxfId="5408" priority="6881" operator="containsText" text="$H$13">
      <formula>NOT(ISERROR(SEARCH($H$13,D388)))</formula>
      <formula>$H$13</formula>
    </cfRule>
  </conditionalFormatting>
  <conditionalFormatting sqref="D390">
    <cfRule type="containsText" dxfId="5407" priority="6880" operator="containsText" text="$H$7">
      <formula>NOT(ISERROR(SEARCH($H$7,D390)))</formula>
      <formula>$H$7</formula>
    </cfRule>
    <cfRule type="containsText" dxfId="5406" priority="6879" operator="containsText" text="$H$8">
      <formula>NOT(ISERROR(SEARCH($H$8,D390)))</formula>
      <formula>$H$8</formula>
    </cfRule>
    <cfRule type="containsText" dxfId="5405" priority="6878" operator="containsText" text="$H$8">
      <formula>NOT(ISERROR(SEARCH($H$8,D390)))</formula>
      <formula>$H$8</formula>
    </cfRule>
    <cfRule type="containsText" dxfId="5404" priority="6877" operator="containsText" text="$H$9">
      <formula>NOT(ISERROR(SEARCH($H$9,D390)))</formula>
      <formula>$H$9</formula>
    </cfRule>
    <cfRule type="containsText" dxfId="5403" priority="6876" operator="containsText" text="$H$10">
      <formula>NOT(ISERROR(SEARCH($H$10,D390)))</formula>
      <formula>$H$10</formula>
    </cfRule>
    <cfRule type="containsText" dxfId="5402" priority="6875" operator="containsText" text="$H$11">
      <formula>NOT(ISERROR(SEARCH($H$11,D390)))</formula>
      <formula>$H$11</formula>
    </cfRule>
    <cfRule type="containsText" dxfId="5401" priority="6874" operator="containsText" text="$H$12">
      <formula>NOT(ISERROR(SEARCH($H$12,D390)))</formula>
      <formula>$H$12</formula>
    </cfRule>
    <cfRule type="containsText" dxfId="5400" priority="6873" operator="containsText" text="$H$13">
      <formula>NOT(ISERROR(SEARCH($H$13,D390)))</formula>
      <formula>$H$13</formula>
    </cfRule>
  </conditionalFormatting>
  <conditionalFormatting sqref="D392:D393">
    <cfRule type="containsText" dxfId="5399" priority="6872" operator="containsText" text="$H$7">
      <formula>NOT(ISERROR(SEARCH($H$7,D392)))</formula>
      <formula>$H$7</formula>
    </cfRule>
    <cfRule type="containsText" dxfId="5398" priority="6871" operator="containsText" text="$H$8">
      <formula>NOT(ISERROR(SEARCH($H$8,D392)))</formula>
      <formula>$H$8</formula>
    </cfRule>
    <cfRule type="containsText" dxfId="5397" priority="6870" operator="containsText" text="$H$8">
      <formula>NOT(ISERROR(SEARCH($H$8,D392)))</formula>
      <formula>$H$8</formula>
    </cfRule>
    <cfRule type="containsText" dxfId="5396" priority="6869" operator="containsText" text="$H$9">
      <formula>NOT(ISERROR(SEARCH($H$9,D392)))</formula>
      <formula>$H$9</formula>
    </cfRule>
    <cfRule type="containsText" dxfId="5395" priority="6868" operator="containsText" text="$H$10">
      <formula>NOT(ISERROR(SEARCH($H$10,D392)))</formula>
      <formula>$H$10</formula>
    </cfRule>
    <cfRule type="containsText" dxfId="5394" priority="6867" operator="containsText" text="$H$11">
      <formula>NOT(ISERROR(SEARCH($H$11,D392)))</formula>
      <formula>$H$11</formula>
    </cfRule>
    <cfRule type="containsText" dxfId="5393" priority="6866" operator="containsText" text="$H$12">
      <formula>NOT(ISERROR(SEARCH($H$12,D392)))</formula>
      <formula>$H$12</formula>
    </cfRule>
    <cfRule type="containsText" dxfId="5392" priority="6865" operator="containsText" text="$H$13">
      <formula>NOT(ISERROR(SEARCH($H$13,D392)))</formula>
      <formula>$H$13</formula>
    </cfRule>
  </conditionalFormatting>
  <conditionalFormatting sqref="D394:D395">
    <cfRule type="containsText" dxfId="5391" priority="6864" operator="containsText" text="$H$7">
      <formula>NOT(ISERROR(SEARCH($H$7,D394)))</formula>
      <formula>$H$7</formula>
    </cfRule>
    <cfRule type="containsText" dxfId="5390" priority="6863" operator="containsText" text="$H$8">
      <formula>NOT(ISERROR(SEARCH($H$8,D394)))</formula>
      <formula>$H$8</formula>
    </cfRule>
    <cfRule type="containsText" dxfId="5389" priority="6862" operator="containsText" text="$H$8">
      <formula>NOT(ISERROR(SEARCH($H$8,D394)))</formula>
      <formula>$H$8</formula>
    </cfRule>
    <cfRule type="containsText" dxfId="5388" priority="6861" operator="containsText" text="$H$9">
      <formula>NOT(ISERROR(SEARCH($H$9,D394)))</formula>
      <formula>$H$9</formula>
    </cfRule>
    <cfRule type="containsText" dxfId="5387" priority="6860" operator="containsText" text="$H$10">
      <formula>NOT(ISERROR(SEARCH($H$10,D394)))</formula>
      <formula>$H$10</formula>
    </cfRule>
    <cfRule type="containsText" dxfId="5386" priority="6859" operator="containsText" text="$H$11">
      <formula>NOT(ISERROR(SEARCH($H$11,D394)))</formula>
      <formula>$H$11</formula>
    </cfRule>
    <cfRule type="containsText" dxfId="5385" priority="6858" operator="containsText" text="$H$12">
      <formula>NOT(ISERROR(SEARCH($H$12,D394)))</formula>
      <formula>$H$12</formula>
    </cfRule>
    <cfRule type="containsText" dxfId="5384" priority="6857" operator="containsText" text="$H$13">
      <formula>NOT(ISERROR(SEARCH($H$13,D394)))</formula>
      <formula>$H$13</formula>
    </cfRule>
  </conditionalFormatting>
  <conditionalFormatting sqref="D396:D397">
    <cfRule type="containsText" dxfId="5383" priority="6856" operator="containsText" text="$H$7">
      <formula>NOT(ISERROR(SEARCH($H$7,D396)))</formula>
      <formula>$H$7</formula>
    </cfRule>
    <cfRule type="containsText" dxfId="5382" priority="6855" operator="containsText" text="$H$8">
      <formula>NOT(ISERROR(SEARCH($H$8,D396)))</formula>
      <formula>$H$8</formula>
    </cfRule>
    <cfRule type="containsText" dxfId="5381" priority="6854" operator="containsText" text="$H$8">
      <formula>NOT(ISERROR(SEARCH($H$8,D396)))</formula>
      <formula>$H$8</formula>
    </cfRule>
    <cfRule type="containsText" dxfId="5380" priority="6853" operator="containsText" text="$H$9">
      <formula>NOT(ISERROR(SEARCH($H$9,D396)))</formula>
      <formula>$H$9</formula>
    </cfRule>
    <cfRule type="containsText" dxfId="5379" priority="6852" operator="containsText" text="$H$10">
      <formula>NOT(ISERROR(SEARCH($H$10,D396)))</formula>
      <formula>$H$10</formula>
    </cfRule>
    <cfRule type="containsText" dxfId="5378" priority="6851" operator="containsText" text="$H$11">
      <formula>NOT(ISERROR(SEARCH($H$11,D396)))</formula>
      <formula>$H$11</formula>
    </cfRule>
    <cfRule type="containsText" dxfId="5377" priority="6850" operator="containsText" text="$H$12">
      <formula>NOT(ISERROR(SEARCH($H$12,D396)))</formula>
      <formula>$H$12</formula>
    </cfRule>
    <cfRule type="containsText" dxfId="5376" priority="6849" operator="containsText" text="$H$13">
      <formula>NOT(ISERROR(SEARCH($H$13,D396)))</formula>
      <formula>$H$13</formula>
    </cfRule>
  </conditionalFormatting>
  <conditionalFormatting sqref="D398:D399">
    <cfRule type="containsText" dxfId="5375" priority="6848" operator="containsText" text="$H$7">
      <formula>NOT(ISERROR(SEARCH($H$7,D398)))</formula>
      <formula>$H$7</formula>
    </cfRule>
    <cfRule type="containsText" dxfId="5374" priority="6847" operator="containsText" text="$H$8">
      <formula>NOT(ISERROR(SEARCH($H$8,D398)))</formula>
      <formula>$H$8</formula>
    </cfRule>
    <cfRule type="containsText" dxfId="5373" priority="6846" operator="containsText" text="$H$8">
      <formula>NOT(ISERROR(SEARCH($H$8,D398)))</formula>
      <formula>$H$8</formula>
    </cfRule>
    <cfRule type="containsText" dxfId="5372" priority="6845" operator="containsText" text="$H$9">
      <formula>NOT(ISERROR(SEARCH($H$9,D398)))</formula>
      <formula>$H$9</formula>
    </cfRule>
    <cfRule type="containsText" dxfId="5371" priority="6844" operator="containsText" text="$H$10">
      <formula>NOT(ISERROR(SEARCH($H$10,D398)))</formula>
      <formula>$H$10</formula>
    </cfRule>
    <cfRule type="containsText" dxfId="5370" priority="6843" operator="containsText" text="$H$11">
      <formula>NOT(ISERROR(SEARCH($H$11,D398)))</formula>
      <formula>$H$11</formula>
    </cfRule>
    <cfRule type="containsText" dxfId="5369" priority="6842" operator="containsText" text="$H$12">
      <formula>NOT(ISERROR(SEARCH($H$12,D398)))</formula>
      <formula>$H$12</formula>
    </cfRule>
    <cfRule type="containsText" dxfId="5368" priority="6841" operator="containsText" text="$H$13">
      <formula>NOT(ISERROR(SEARCH($H$13,D398)))</formula>
      <formula>$H$13</formula>
    </cfRule>
  </conditionalFormatting>
  <conditionalFormatting sqref="E384">
    <cfRule type="containsText" dxfId="5367" priority="6840" operator="containsText" text="$H$7">
      <formula>NOT(ISERROR(SEARCH($H$7,E384)))</formula>
      <formula>$H$7</formula>
    </cfRule>
    <cfRule type="containsText" dxfId="5366" priority="6839" operator="containsText" text="$H$8">
      <formula>NOT(ISERROR(SEARCH($H$8,E384)))</formula>
      <formula>$H$8</formula>
    </cfRule>
    <cfRule type="containsText" dxfId="5365" priority="6838" operator="containsText" text="$H$8">
      <formula>NOT(ISERROR(SEARCH($H$8,E384)))</formula>
      <formula>$H$8</formula>
    </cfRule>
    <cfRule type="containsText" dxfId="5364" priority="6837" operator="containsText" text="$H$9">
      <formula>NOT(ISERROR(SEARCH($H$9,E384)))</formula>
      <formula>$H$9</formula>
    </cfRule>
    <cfRule type="containsText" dxfId="5363" priority="6836" operator="containsText" text="$H$10">
      <formula>NOT(ISERROR(SEARCH($H$10,E384)))</formula>
      <formula>$H$10</formula>
    </cfRule>
    <cfRule type="containsText" dxfId="5362" priority="6835" operator="containsText" text="$H$11">
      <formula>NOT(ISERROR(SEARCH($H$11,E384)))</formula>
      <formula>$H$11</formula>
    </cfRule>
    <cfRule type="containsText" dxfId="5361" priority="6834" operator="containsText" text="$H$12">
      <formula>NOT(ISERROR(SEARCH($H$12,E384)))</formula>
      <formula>$H$12</formula>
    </cfRule>
    <cfRule type="containsText" dxfId="5360" priority="6833" operator="containsText" text="$H$13">
      <formula>NOT(ISERROR(SEARCH($H$13,E384)))</formula>
      <formula>$H$13</formula>
    </cfRule>
  </conditionalFormatting>
  <conditionalFormatting sqref="E386">
    <cfRule type="containsText" dxfId="5359" priority="6832" operator="containsText" text="$H$7">
      <formula>NOT(ISERROR(SEARCH($H$7,E386)))</formula>
      <formula>$H$7</formula>
    </cfRule>
    <cfRule type="containsText" dxfId="5358" priority="6831" operator="containsText" text="$H$8">
      <formula>NOT(ISERROR(SEARCH($H$8,E386)))</formula>
      <formula>$H$8</formula>
    </cfRule>
    <cfRule type="containsText" dxfId="5357" priority="6830" operator="containsText" text="$H$8">
      <formula>NOT(ISERROR(SEARCH($H$8,E386)))</formula>
      <formula>$H$8</formula>
    </cfRule>
    <cfRule type="containsText" dxfId="5356" priority="6829" operator="containsText" text="$H$9">
      <formula>NOT(ISERROR(SEARCH($H$9,E386)))</formula>
      <formula>$H$9</formula>
    </cfRule>
    <cfRule type="containsText" dxfId="5355" priority="6828" operator="containsText" text="$H$10">
      <formula>NOT(ISERROR(SEARCH($H$10,E386)))</formula>
      <formula>$H$10</formula>
    </cfRule>
    <cfRule type="containsText" dxfId="5354" priority="6827" operator="containsText" text="$H$11">
      <formula>NOT(ISERROR(SEARCH($H$11,E386)))</formula>
      <formula>$H$11</formula>
    </cfRule>
    <cfRule type="containsText" dxfId="5353" priority="6826" operator="containsText" text="$H$12">
      <formula>NOT(ISERROR(SEARCH($H$12,E386)))</formula>
      <formula>$H$12</formula>
    </cfRule>
    <cfRule type="containsText" dxfId="5352" priority="6825" operator="containsText" text="$H$13">
      <formula>NOT(ISERROR(SEARCH($H$13,E386)))</formula>
      <formula>$H$13</formula>
    </cfRule>
  </conditionalFormatting>
  <conditionalFormatting sqref="E388">
    <cfRule type="containsText" dxfId="5351" priority="6824" operator="containsText" text="$H$7">
      <formula>NOT(ISERROR(SEARCH($H$7,E388)))</formula>
      <formula>$H$7</formula>
    </cfRule>
    <cfRule type="containsText" dxfId="5350" priority="6823" operator="containsText" text="$H$8">
      <formula>NOT(ISERROR(SEARCH($H$8,E388)))</formula>
      <formula>$H$8</formula>
    </cfRule>
    <cfRule type="containsText" dxfId="5349" priority="6822" operator="containsText" text="$H$8">
      <formula>NOT(ISERROR(SEARCH($H$8,E388)))</formula>
      <formula>$H$8</formula>
    </cfRule>
    <cfRule type="containsText" dxfId="5348" priority="6821" operator="containsText" text="$H$9">
      <formula>NOT(ISERROR(SEARCH($H$9,E388)))</formula>
      <formula>$H$9</formula>
    </cfRule>
    <cfRule type="containsText" dxfId="5347" priority="6820" operator="containsText" text="$H$10">
      <formula>NOT(ISERROR(SEARCH($H$10,E388)))</formula>
      <formula>$H$10</formula>
    </cfRule>
    <cfRule type="containsText" dxfId="5346" priority="6819" operator="containsText" text="$H$11">
      <formula>NOT(ISERROR(SEARCH($H$11,E388)))</formula>
      <formula>$H$11</formula>
    </cfRule>
    <cfRule type="containsText" dxfId="5345" priority="6818" operator="containsText" text="$H$12">
      <formula>NOT(ISERROR(SEARCH($H$12,E388)))</formula>
      <formula>$H$12</formula>
    </cfRule>
    <cfRule type="containsText" dxfId="5344" priority="6817" operator="containsText" text="$H$13">
      <formula>NOT(ISERROR(SEARCH($H$13,E388)))</formula>
      <formula>$H$13</formula>
    </cfRule>
  </conditionalFormatting>
  <conditionalFormatting sqref="E390">
    <cfRule type="containsText" dxfId="5343" priority="6816" operator="containsText" text="$H$7">
      <formula>NOT(ISERROR(SEARCH($H$7,E390)))</formula>
      <formula>$H$7</formula>
    </cfRule>
    <cfRule type="containsText" dxfId="5342" priority="6815" operator="containsText" text="$H$8">
      <formula>NOT(ISERROR(SEARCH($H$8,E390)))</formula>
      <formula>$H$8</formula>
    </cfRule>
    <cfRule type="containsText" dxfId="5341" priority="6814" operator="containsText" text="$H$8">
      <formula>NOT(ISERROR(SEARCH($H$8,E390)))</formula>
      <formula>$H$8</formula>
    </cfRule>
    <cfRule type="containsText" dxfId="5340" priority="6813" operator="containsText" text="$H$9">
      <formula>NOT(ISERROR(SEARCH($H$9,E390)))</formula>
      <formula>$H$9</formula>
    </cfRule>
    <cfRule type="containsText" dxfId="5339" priority="6812" operator="containsText" text="$H$10">
      <formula>NOT(ISERROR(SEARCH($H$10,E390)))</formula>
      <formula>$H$10</formula>
    </cfRule>
    <cfRule type="containsText" dxfId="5338" priority="6811" operator="containsText" text="$H$11">
      <formula>NOT(ISERROR(SEARCH($H$11,E390)))</formula>
      <formula>$H$11</formula>
    </cfRule>
    <cfRule type="containsText" dxfId="5337" priority="6810" operator="containsText" text="$H$12">
      <formula>NOT(ISERROR(SEARCH($H$12,E390)))</formula>
      <formula>$H$12</formula>
    </cfRule>
    <cfRule type="containsText" dxfId="5336" priority="6809" operator="containsText" text="$H$13">
      <formula>NOT(ISERROR(SEARCH($H$13,E390)))</formula>
      <formula>$H$13</formula>
    </cfRule>
  </conditionalFormatting>
  <conditionalFormatting sqref="E392:E393">
    <cfRule type="containsText" dxfId="5335" priority="6808" operator="containsText" text="$H$7">
      <formula>NOT(ISERROR(SEARCH($H$7,E392)))</formula>
      <formula>$H$7</formula>
    </cfRule>
    <cfRule type="containsText" dxfId="5334" priority="6807" operator="containsText" text="$H$8">
      <formula>NOT(ISERROR(SEARCH($H$8,E392)))</formula>
      <formula>$H$8</formula>
    </cfRule>
    <cfRule type="containsText" dxfId="5333" priority="6806" operator="containsText" text="$H$8">
      <formula>NOT(ISERROR(SEARCH($H$8,E392)))</formula>
      <formula>$H$8</formula>
    </cfRule>
    <cfRule type="containsText" dxfId="5332" priority="6805" operator="containsText" text="$H$9">
      <formula>NOT(ISERROR(SEARCH($H$9,E392)))</formula>
      <formula>$H$9</formula>
    </cfRule>
    <cfRule type="containsText" dxfId="5331" priority="6804" operator="containsText" text="$H$10">
      <formula>NOT(ISERROR(SEARCH($H$10,E392)))</formula>
      <formula>$H$10</formula>
    </cfRule>
    <cfRule type="containsText" dxfId="5330" priority="6803" operator="containsText" text="$H$11">
      <formula>NOT(ISERROR(SEARCH($H$11,E392)))</formula>
      <formula>$H$11</formula>
    </cfRule>
    <cfRule type="containsText" dxfId="5329" priority="6802" operator="containsText" text="$H$12">
      <formula>NOT(ISERROR(SEARCH($H$12,E392)))</formula>
      <formula>$H$12</formula>
    </cfRule>
    <cfRule type="containsText" dxfId="5328" priority="6801" operator="containsText" text="$H$13">
      <formula>NOT(ISERROR(SEARCH($H$13,E392)))</formula>
      <formula>$H$13</formula>
    </cfRule>
  </conditionalFormatting>
  <conditionalFormatting sqref="E394:E395">
    <cfRule type="containsText" dxfId="5327" priority="6800" operator="containsText" text="$H$7">
      <formula>NOT(ISERROR(SEARCH($H$7,E394)))</formula>
      <formula>$H$7</formula>
    </cfRule>
    <cfRule type="containsText" dxfId="5326" priority="6799" operator="containsText" text="$H$8">
      <formula>NOT(ISERROR(SEARCH($H$8,E394)))</formula>
      <formula>$H$8</formula>
    </cfRule>
    <cfRule type="containsText" dxfId="5325" priority="6798" operator="containsText" text="$H$8">
      <formula>NOT(ISERROR(SEARCH($H$8,E394)))</formula>
      <formula>$H$8</formula>
    </cfRule>
    <cfRule type="containsText" dxfId="5324" priority="6797" operator="containsText" text="$H$9">
      <formula>NOT(ISERROR(SEARCH($H$9,E394)))</formula>
      <formula>$H$9</formula>
    </cfRule>
    <cfRule type="containsText" dxfId="5323" priority="6796" operator="containsText" text="$H$10">
      <formula>NOT(ISERROR(SEARCH($H$10,E394)))</formula>
      <formula>$H$10</formula>
    </cfRule>
    <cfRule type="containsText" dxfId="5322" priority="6795" operator="containsText" text="$H$11">
      <formula>NOT(ISERROR(SEARCH($H$11,E394)))</formula>
      <formula>$H$11</formula>
    </cfRule>
    <cfRule type="containsText" dxfId="5321" priority="6794" operator="containsText" text="$H$12">
      <formula>NOT(ISERROR(SEARCH($H$12,E394)))</formula>
      <formula>$H$12</formula>
    </cfRule>
    <cfRule type="containsText" dxfId="5320" priority="6793" operator="containsText" text="$H$13">
      <formula>NOT(ISERROR(SEARCH($H$13,E394)))</formula>
      <formula>$H$13</formula>
    </cfRule>
  </conditionalFormatting>
  <conditionalFormatting sqref="E396:E397">
    <cfRule type="containsText" dxfId="5319" priority="6792" operator="containsText" text="$H$7">
      <formula>NOT(ISERROR(SEARCH($H$7,E396)))</formula>
      <formula>$H$7</formula>
    </cfRule>
    <cfRule type="containsText" dxfId="5318" priority="6791" operator="containsText" text="$H$8">
      <formula>NOT(ISERROR(SEARCH($H$8,E396)))</formula>
      <formula>$H$8</formula>
    </cfRule>
    <cfRule type="containsText" dxfId="5317" priority="6790" operator="containsText" text="$H$8">
      <formula>NOT(ISERROR(SEARCH($H$8,E396)))</formula>
      <formula>$H$8</formula>
    </cfRule>
    <cfRule type="containsText" dxfId="5316" priority="6789" operator="containsText" text="$H$9">
      <formula>NOT(ISERROR(SEARCH($H$9,E396)))</formula>
      <formula>$H$9</formula>
    </cfRule>
    <cfRule type="containsText" dxfId="5315" priority="6788" operator="containsText" text="$H$10">
      <formula>NOT(ISERROR(SEARCH($H$10,E396)))</formula>
      <formula>$H$10</formula>
    </cfRule>
    <cfRule type="containsText" dxfId="5314" priority="6787" operator="containsText" text="$H$11">
      <formula>NOT(ISERROR(SEARCH($H$11,E396)))</formula>
      <formula>$H$11</formula>
    </cfRule>
    <cfRule type="containsText" dxfId="5313" priority="6786" operator="containsText" text="$H$12">
      <formula>NOT(ISERROR(SEARCH($H$12,E396)))</formula>
      <formula>$H$12</formula>
    </cfRule>
    <cfRule type="containsText" dxfId="5312" priority="6785" operator="containsText" text="$H$13">
      <formula>NOT(ISERROR(SEARCH($H$13,E396)))</formula>
      <formula>$H$13</formula>
    </cfRule>
  </conditionalFormatting>
  <conditionalFormatting sqref="E398:E399">
    <cfRule type="containsText" dxfId="5311" priority="6784" operator="containsText" text="$H$7">
      <formula>NOT(ISERROR(SEARCH($H$7,E398)))</formula>
      <formula>$H$7</formula>
    </cfRule>
    <cfRule type="containsText" dxfId="5310" priority="6783" operator="containsText" text="$H$8">
      <formula>NOT(ISERROR(SEARCH($H$8,E398)))</formula>
      <formula>$H$8</formula>
    </cfRule>
    <cfRule type="containsText" dxfId="5309" priority="6782" operator="containsText" text="$H$8">
      <formula>NOT(ISERROR(SEARCH($H$8,E398)))</formula>
      <formula>$H$8</formula>
    </cfRule>
    <cfRule type="containsText" dxfId="5308" priority="6781" operator="containsText" text="$H$9">
      <formula>NOT(ISERROR(SEARCH($H$9,E398)))</formula>
      <formula>$H$9</formula>
    </cfRule>
    <cfRule type="containsText" dxfId="5307" priority="6780" operator="containsText" text="$H$10">
      <formula>NOT(ISERROR(SEARCH($H$10,E398)))</formula>
      <formula>$H$10</formula>
    </cfRule>
    <cfRule type="containsText" dxfId="5306" priority="6779" operator="containsText" text="$H$11">
      <formula>NOT(ISERROR(SEARCH($H$11,E398)))</formula>
      <formula>$H$11</formula>
    </cfRule>
    <cfRule type="containsText" dxfId="5305" priority="6778" operator="containsText" text="$H$12">
      <formula>NOT(ISERROR(SEARCH($H$12,E398)))</formula>
      <formula>$H$12</formula>
    </cfRule>
    <cfRule type="containsText" dxfId="5304" priority="6777" operator="containsText" text="$H$13">
      <formula>NOT(ISERROR(SEARCH($H$13,E398)))</formula>
      <formula>$H$13</formula>
    </cfRule>
  </conditionalFormatting>
  <conditionalFormatting sqref="F384">
    <cfRule type="containsText" dxfId="5303" priority="6776" operator="containsText" text="$H$7">
      <formula>NOT(ISERROR(SEARCH($H$7,F384)))</formula>
      <formula>$H$7</formula>
    </cfRule>
    <cfRule type="containsText" dxfId="5302" priority="6775" operator="containsText" text="$H$8">
      <formula>NOT(ISERROR(SEARCH($H$8,F384)))</formula>
      <formula>$H$8</formula>
    </cfRule>
    <cfRule type="containsText" dxfId="5301" priority="6774" operator="containsText" text="$H$8">
      <formula>NOT(ISERROR(SEARCH($H$8,F384)))</formula>
      <formula>$H$8</formula>
    </cfRule>
    <cfRule type="containsText" dxfId="5300" priority="6773" operator="containsText" text="$H$9">
      <formula>NOT(ISERROR(SEARCH($H$9,F384)))</formula>
      <formula>$H$9</formula>
    </cfRule>
    <cfRule type="containsText" dxfId="5299" priority="6772" operator="containsText" text="$H$10">
      <formula>NOT(ISERROR(SEARCH($H$10,F384)))</formula>
      <formula>$H$10</formula>
    </cfRule>
    <cfRule type="containsText" dxfId="5298" priority="6771" operator="containsText" text="$H$11">
      <formula>NOT(ISERROR(SEARCH($H$11,F384)))</formula>
      <formula>$H$11</formula>
    </cfRule>
    <cfRule type="containsText" dxfId="5297" priority="6770" operator="containsText" text="$H$12">
      <formula>NOT(ISERROR(SEARCH($H$12,F384)))</formula>
      <formula>$H$12</formula>
    </cfRule>
    <cfRule type="containsText" dxfId="5296" priority="6769" operator="containsText" text="$H$13">
      <formula>NOT(ISERROR(SEARCH($H$13,F384)))</formula>
      <formula>$H$13</formula>
    </cfRule>
  </conditionalFormatting>
  <conditionalFormatting sqref="F386">
    <cfRule type="containsText" dxfId="5295" priority="6768" operator="containsText" text="$H$7">
      <formula>NOT(ISERROR(SEARCH($H$7,F386)))</formula>
      <formula>$H$7</formula>
    </cfRule>
    <cfRule type="containsText" dxfId="5294" priority="6767" operator="containsText" text="$H$8">
      <formula>NOT(ISERROR(SEARCH($H$8,F386)))</formula>
      <formula>$H$8</formula>
    </cfRule>
    <cfRule type="containsText" dxfId="5293" priority="6766" operator="containsText" text="$H$8">
      <formula>NOT(ISERROR(SEARCH($H$8,F386)))</formula>
      <formula>$H$8</formula>
    </cfRule>
    <cfRule type="containsText" dxfId="5292" priority="6765" operator="containsText" text="$H$9">
      <formula>NOT(ISERROR(SEARCH($H$9,F386)))</formula>
      <formula>$H$9</formula>
    </cfRule>
    <cfRule type="containsText" dxfId="5291" priority="6764" operator="containsText" text="$H$10">
      <formula>NOT(ISERROR(SEARCH($H$10,F386)))</formula>
      <formula>$H$10</formula>
    </cfRule>
    <cfRule type="containsText" dxfId="5290" priority="6763" operator="containsText" text="$H$11">
      <formula>NOT(ISERROR(SEARCH($H$11,F386)))</formula>
      <formula>$H$11</formula>
    </cfRule>
    <cfRule type="containsText" dxfId="5289" priority="6762" operator="containsText" text="$H$12">
      <formula>NOT(ISERROR(SEARCH($H$12,F386)))</formula>
      <formula>$H$12</formula>
    </cfRule>
    <cfRule type="containsText" dxfId="5288" priority="6761" operator="containsText" text="$H$13">
      <formula>NOT(ISERROR(SEARCH($H$13,F386)))</formula>
      <formula>$H$13</formula>
    </cfRule>
  </conditionalFormatting>
  <conditionalFormatting sqref="F388">
    <cfRule type="containsText" dxfId="5287" priority="6760" operator="containsText" text="$H$7">
      <formula>NOT(ISERROR(SEARCH($H$7,F388)))</formula>
      <formula>$H$7</formula>
    </cfRule>
    <cfRule type="containsText" dxfId="5286" priority="6759" operator="containsText" text="$H$8">
      <formula>NOT(ISERROR(SEARCH($H$8,F388)))</formula>
      <formula>$H$8</formula>
    </cfRule>
    <cfRule type="containsText" dxfId="5285" priority="6758" operator="containsText" text="$H$8">
      <formula>NOT(ISERROR(SEARCH($H$8,F388)))</formula>
      <formula>$H$8</formula>
    </cfRule>
    <cfRule type="containsText" dxfId="5284" priority="6757" operator="containsText" text="$H$9">
      <formula>NOT(ISERROR(SEARCH($H$9,F388)))</formula>
      <formula>$H$9</formula>
    </cfRule>
    <cfRule type="containsText" dxfId="5283" priority="6756" operator="containsText" text="$H$10">
      <formula>NOT(ISERROR(SEARCH($H$10,F388)))</formula>
      <formula>$H$10</formula>
    </cfRule>
    <cfRule type="containsText" dxfId="5282" priority="6755" operator="containsText" text="$H$11">
      <formula>NOT(ISERROR(SEARCH($H$11,F388)))</formula>
      <formula>$H$11</formula>
    </cfRule>
    <cfRule type="containsText" dxfId="5281" priority="6754" operator="containsText" text="$H$12">
      <formula>NOT(ISERROR(SEARCH($H$12,F388)))</formula>
      <formula>$H$12</formula>
    </cfRule>
    <cfRule type="containsText" dxfId="5280" priority="6753" operator="containsText" text="$H$13">
      <formula>NOT(ISERROR(SEARCH($H$13,F388)))</formula>
      <formula>$H$13</formula>
    </cfRule>
  </conditionalFormatting>
  <conditionalFormatting sqref="F390">
    <cfRule type="containsText" dxfId="5279" priority="6752" operator="containsText" text="$H$7">
      <formula>NOT(ISERROR(SEARCH($H$7,F390)))</formula>
      <formula>$H$7</formula>
    </cfRule>
    <cfRule type="containsText" dxfId="5278" priority="6751" operator="containsText" text="$H$8">
      <formula>NOT(ISERROR(SEARCH($H$8,F390)))</formula>
      <formula>$H$8</formula>
    </cfRule>
    <cfRule type="containsText" dxfId="5277" priority="6750" operator="containsText" text="$H$8">
      <formula>NOT(ISERROR(SEARCH($H$8,F390)))</formula>
      <formula>$H$8</formula>
    </cfRule>
    <cfRule type="containsText" dxfId="5276" priority="6749" operator="containsText" text="$H$9">
      <formula>NOT(ISERROR(SEARCH($H$9,F390)))</formula>
      <formula>$H$9</formula>
    </cfRule>
    <cfRule type="containsText" dxfId="5275" priority="6748" operator="containsText" text="$H$10">
      <formula>NOT(ISERROR(SEARCH($H$10,F390)))</formula>
      <formula>$H$10</formula>
    </cfRule>
    <cfRule type="containsText" dxfId="5274" priority="6747" operator="containsText" text="$H$11">
      <formula>NOT(ISERROR(SEARCH($H$11,F390)))</formula>
      <formula>$H$11</formula>
    </cfRule>
    <cfRule type="containsText" dxfId="5273" priority="6746" operator="containsText" text="$H$12">
      <formula>NOT(ISERROR(SEARCH($H$12,F390)))</formula>
      <formula>$H$12</formula>
    </cfRule>
    <cfRule type="containsText" dxfId="5272" priority="6745" operator="containsText" text="$H$13">
      <formula>NOT(ISERROR(SEARCH($H$13,F390)))</formula>
      <formula>$H$13</formula>
    </cfRule>
  </conditionalFormatting>
  <conditionalFormatting sqref="F392">
    <cfRule type="containsText" dxfId="5271" priority="6744" operator="containsText" text="$H$7">
      <formula>NOT(ISERROR(SEARCH($H$7,F392)))</formula>
      <formula>$H$7</formula>
    </cfRule>
    <cfRule type="containsText" dxfId="5270" priority="6743" operator="containsText" text="$H$8">
      <formula>NOT(ISERROR(SEARCH($H$8,F392)))</formula>
      <formula>$H$8</formula>
    </cfRule>
    <cfRule type="containsText" dxfId="5269" priority="6742" operator="containsText" text="$H$8">
      <formula>NOT(ISERROR(SEARCH($H$8,F392)))</formula>
      <formula>$H$8</formula>
    </cfRule>
    <cfRule type="containsText" dxfId="5268" priority="6741" operator="containsText" text="$H$9">
      <formula>NOT(ISERROR(SEARCH($H$9,F392)))</formula>
      <formula>$H$9</formula>
    </cfRule>
    <cfRule type="containsText" dxfId="5267" priority="6740" operator="containsText" text="$H$10">
      <formula>NOT(ISERROR(SEARCH($H$10,F392)))</formula>
      <formula>$H$10</formula>
    </cfRule>
    <cfRule type="containsText" dxfId="5266" priority="6739" operator="containsText" text="$H$11">
      <formula>NOT(ISERROR(SEARCH($H$11,F392)))</formula>
      <formula>$H$11</formula>
    </cfRule>
    <cfRule type="containsText" dxfId="5265" priority="6738" operator="containsText" text="$H$12">
      <formula>NOT(ISERROR(SEARCH($H$12,F392)))</formula>
      <formula>$H$12</formula>
    </cfRule>
    <cfRule type="containsText" dxfId="5264" priority="6737" operator="containsText" text="$H$13">
      <formula>NOT(ISERROR(SEARCH($H$13,F392)))</formula>
      <formula>$H$13</formula>
    </cfRule>
  </conditionalFormatting>
  <conditionalFormatting sqref="F394">
    <cfRule type="containsText" dxfId="5263" priority="6736" operator="containsText" text="$H$7">
      <formula>NOT(ISERROR(SEARCH($H$7,F394)))</formula>
      <formula>$H$7</formula>
    </cfRule>
    <cfRule type="containsText" dxfId="5262" priority="6735" operator="containsText" text="$H$8">
      <formula>NOT(ISERROR(SEARCH($H$8,F394)))</formula>
      <formula>$H$8</formula>
    </cfRule>
    <cfRule type="containsText" dxfId="5261" priority="6734" operator="containsText" text="$H$8">
      <formula>NOT(ISERROR(SEARCH($H$8,F394)))</formula>
      <formula>$H$8</formula>
    </cfRule>
    <cfRule type="containsText" dxfId="5260" priority="6733" operator="containsText" text="$H$9">
      <formula>NOT(ISERROR(SEARCH($H$9,F394)))</formula>
      <formula>$H$9</formula>
    </cfRule>
    <cfRule type="containsText" dxfId="5259" priority="6732" operator="containsText" text="$H$10">
      <formula>NOT(ISERROR(SEARCH($H$10,F394)))</formula>
      <formula>$H$10</formula>
    </cfRule>
    <cfRule type="containsText" dxfId="5258" priority="6731" operator="containsText" text="$H$11">
      <formula>NOT(ISERROR(SEARCH($H$11,F394)))</formula>
      <formula>$H$11</formula>
    </cfRule>
    <cfRule type="containsText" dxfId="5257" priority="6730" operator="containsText" text="$H$12">
      <formula>NOT(ISERROR(SEARCH($H$12,F394)))</formula>
      <formula>$H$12</formula>
    </cfRule>
    <cfRule type="containsText" dxfId="5256" priority="6729" operator="containsText" text="$H$13">
      <formula>NOT(ISERROR(SEARCH($H$13,F394)))</formula>
      <formula>$H$13</formula>
    </cfRule>
  </conditionalFormatting>
  <conditionalFormatting sqref="F396">
    <cfRule type="containsText" dxfId="5255" priority="6728" operator="containsText" text="$H$7">
      <formula>NOT(ISERROR(SEARCH($H$7,F396)))</formula>
      <formula>$H$7</formula>
    </cfRule>
    <cfRule type="containsText" dxfId="5254" priority="6727" operator="containsText" text="$H$8">
      <formula>NOT(ISERROR(SEARCH($H$8,F396)))</formula>
      <formula>$H$8</formula>
    </cfRule>
    <cfRule type="containsText" dxfId="5253" priority="6726" operator="containsText" text="$H$8">
      <formula>NOT(ISERROR(SEARCH($H$8,F396)))</formula>
      <formula>$H$8</formula>
    </cfRule>
    <cfRule type="containsText" dxfId="5252" priority="6725" operator="containsText" text="$H$9">
      <formula>NOT(ISERROR(SEARCH($H$9,F396)))</formula>
      <formula>$H$9</formula>
    </cfRule>
    <cfRule type="containsText" dxfId="5251" priority="6724" operator="containsText" text="$H$10">
      <formula>NOT(ISERROR(SEARCH($H$10,F396)))</formula>
      <formula>$H$10</formula>
    </cfRule>
    <cfRule type="containsText" dxfId="5250" priority="6723" operator="containsText" text="$H$11">
      <formula>NOT(ISERROR(SEARCH($H$11,F396)))</formula>
      <formula>$H$11</formula>
    </cfRule>
    <cfRule type="containsText" dxfId="5249" priority="6722" operator="containsText" text="$H$12">
      <formula>NOT(ISERROR(SEARCH($H$12,F396)))</formula>
      <formula>$H$12</formula>
    </cfRule>
    <cfRule type="containsText" dxfId="5248" priority="6721" operator="containsText" text="$H$13">
      <formula>NOT(ISERROR(SEARCH($H$13,F396)))</formula>
      <formula>$H$13</formula>
    </cfRule>
  </conditionalFormatting>
  <conditionalFormatting sqref="F398">
    <cfRule type="containsText" dxfId="5247" priority="6720" operator="containsText" text="$H$7">
      <formula>NOT(ISERROR(SEARCH($H$7,F398)))</formula>
      <formula>$H$7</formula>
    </cfRule>
    <cfRule type="containsText" dxfId="5246" priority="6719" operator="containsText" text="$H$8">
      <formula>NOT(ISERROR(SEARCH($H$8,F398)))</formula>
      <formula>$H$8</formula>
    </cfRule>
    <cfRule type="containsText" dxfId="5245" priority="6718" operator="containsText" text="$H$8">
      <formula>NOT(ISERROR(SEARCH($H$8,F398)))</formula>
      <formula>$H$8</formula>
    </cfRule>
    <cfRule type="containsText" dxfId="5244" priority="6717" operator="containsText" text="$H$9">
      <formula>NOT(ISERROR(SEARCH($H$9,F398)))</formula>
      <formula>$H$9</formula>
    </cfRule>
    <cfRule type="containsText" dxfId="5243" priority="6716" operator="containsText" text="$H$10">
      <formula>NOT(ISERROR(SEARCH($H$10,F398)))</formula>
      <formula>$H$10</formula>
    </cfRule>
    <cfRule type="containsText" dxfId="5242" priority="6715" operator="containsText" text="$H$11">
      <formula>NOT(ISERROR(SEARCH($H$11,F398)))</formula>
      <formula>$H$11</formula>
    </cfRule>
    <cfRule type="containsText" dxfId="5241" priority="6714" operator="containsText" text="$H$12">
      <formula>NOT(ISERROR(SEARCH($H$12,F398)))</formula>
      <formula>$H$12</formula>
    </cfRule>
    <cfRule type="containsText" dxfId="5240" priority="6713" operator="containsText" text="$H$13">
      <formula>NOT(ISERROR(SEARCH($H$13,F398)))</formula>
      <formula>$H$13</formula>
    </cfRule>
  </conditionalFormatting>
  <conditionalFormatting sqref="B402">
    <cfRule type="containsText" dxfId="5239" priority="6712" operator="containsText" text="$H$7">
      <formula>NOT(ISERROR(SEARCH($H$7,B402)))</formula>
      <formula>$H$7</formula>
    </cfRule>
    <cfRule type="containsText" dxfId="5238" priority="6711" operator="containsText" text="$H$8">
      <formula>NOT(ISERROR(SEARCH($H$8,B402)))</formula>
      <formula>$H$8</formula>
    </cfRule>
    <cfRule type="containsText" dxfId="5237" priority="6710" operator="containsText" text="$H$8">
      <formula>NOT(ISERROR(SEARCH($H$8,B402)))</formula>
      <formula>$H$8</formula>
    </cfRule>
    <cfRule type="containsText" dxfId="5236" priority="6709" operator="containsText" text="$H$9">
      <formula>NOT(ISERROR(SEARCH($H$9,B402)))</formula>
      <formula>$H$9</formula>
    </cfRule>
    <cfRule type="containsText" dxfId="5235" priority="6708" operator="containsText" text="$H$10">
      <formula>NOT(ISERROR(SEARCH($H$10,B402)))</formula>
      <formula>$H$10</formula>
    </cfRule>
    <cfRule type="containsText" dxfId="5234" priority="6707" operator="containsText" text="$H$11">
      <formula>NOT(ISERROR(SEARCH($H$11,B402)))</formula>
      <formula>$H$11</formula>
    </cfRule>
    <cfRule type="containsText" dxfId="5233" priority="6706" operator="containsText" text="$H$12">
      <formula>NOT(ISERROR(SEARCH($H$12,B402)))</formula>
      <formula>$H$12</formula>
    </cfRule>
    <cfRule type="containsText" dxfId="5232" priority="6705" operator="containsText" text="$H$13">
      <formula>NOT(ISERROR(SEARCH($H$13,B402)))</formula>
      <formula>$H$13</formula>
    </cfRule>
  </conditionalFormatting>
  <conditionalFormatting sqref="B404">
    <cfRule type="containsText" dxfId="5231" priority="6704" operator="containsText" text="$H$7">
      <formula>NOT(ISERROR(SEARCH($H$7,B404)))</formula>
      <formula>$H$7</formula>
    </cfRule>
    <cfRule type="containsText" dxfId="5230" priority="6703" operator="containsText" text="$H$8">
      <formula>NOT(ISERROR(SEARCH($H$8,B404)))</formula>
      <formula>$H$8</formula>
    </cfRule>
    <cfRule type="containsText" dxfId="5229" priority="6702" operator="containsText" text="$H$8">
      <formula>NOT(ISERROR(SEARCH($H$8,B404)))</formula>
      <formula>$H$8</formula>
    </cfRule>
    <cfRule type="containsText" dxfId="5228" priority="6701" operator="containsText" text="$H$9">
      <formula>NOT(ISERROR(SEARCH($H$9,B404)))</formula>
      <formula>$H$9</formula>
    </cfRule>
    <cfRule type="containsText" dxfId="5227" priority="6700" operator="containsText" text="$H$10">
      <formula>NOT(ISERROR(SEARCH($H$10,B404)))</formula>
      <formula>$H$10</formula>
    </cfRule>
    <cfRule type="containsText" dxfId="5226" priority="6699" operator="containsText" text="$H$11">
      <formula>NOT(ISERROR(SEARCH($H$11,B404)))</formula>
      <formula>$H$11</formula>
    </cfRule>
    <cfRule type="containsText" dxfId="5225" priority="6698" operator="containsText" text="$H$12">
      <formula>NOT(ISERROR(SEARCH($H$12,B404)))</formula>
      <formula>$H$12</formula>
    </cfRule>
    <cfRule type="containsText" dxfId="5224" priority="6697" operator="containsText" text="$H$13">
      <formula>NOT(ISERROR(SEARCH($H$13,B404)))</formula>
      <formula>$H$13</formula>
    </cfRule>
  </conditionalFormatting>
  <conditionalFormatting sqref="B406">
    <cfRule type="containsText" dxfId="5223" priority="6696" operator="containsText" text="$H$7">
      <formula>NOT(ISERROR(SEARCH($H$7,B406)))</formula>
      <formula>$H$7</formula>
    </cfRule>
    <cfRule type="containsText" dxfId="5222" priority="6695" operator="containsText" text="$H$8">
      <formula>NOT(ISERROR(SEARCH($H$8,B406)))</formula>
      <formula>$H$8</formula>
    </cfRule>
    <cfRule type="containsText" dxfId="5221" priority="6694" operator="containsText" text="$H$8">
      <formula>NOT(ISERROR(SEARCH($H$8,B406)))</formula>
      <formula>$H$8</formula>
    </cfRule>
    <cfRule type="containsText" dxfId="5220" priority="6693" operator="containsText" text="$H$9">
      <formula>NOT(ISERROR(SEARCH($H$9,B406)))</formula>
      <formula>$H$9</formula>
    </cfRule>
    <cfRule type="containsText" dxfId="5219" priority="6692" operator="containsText" text="$H$10">
      <formula>NOT(ISERROR(SEARCH($H$10,B406)))</formula>
      <formula>$H$10</formula>
    </cfRule>
    <cfRule type="containsText" dxfId="5218" priority="6691" operator="containsText" text="$H$11">
      <formula>NOT(ISERROR(SEARCH($H$11,B406)))</formula>
      <formula>$H$11</formula>
    </cfRule>
    <cfRule type="containsText" dxfId="5217" priority="6690" operator="containsText" text="$H$12">
      <formula>NOT(ISERROR(SEARCH($H$12,B406)))</formula>
      <formula>$H$12</formula>
    </cfRule>
    <cfRule type="containsText" dxfId="5216" priority="6689" operator="containsText" text="$H$13">
      <formula>NOT(ISERROR(SEARCH($H$13,B406)))</formula>
      <formula>$H$13</formula>
    </cfRule>
  </conditionalFormatting>
  <conditionalFormatting sqref="B408">
    <cfRule type="containsText" dxfId="5215" priority="6688" operator="containsText" text="$H$7">
      <formula>NOT(ISERROR(SEARCH($H$7,B408)))</formula>
      <formula>$H$7</formula>
    </cfRule>
    <cfRule type="containsText" dxfId="5214" priority="6687" operator="containsText" text="$H$8">
      <formula>NOT(ISERROR(SEARCH($H$8,B408)))</formula>
      <formula>$H$8</formula>
    </cfRule>
    <cfRule type="containsText" dxfId="5213" priority="6686" operator="containsText" text="$H$8">
      <formula>NOT(ISERROR(SEARCH($H$8,B408)))</formula>
      <formula>$H$8</formula>
    </cfRule>
    <cfRule type="containsText" dxfId="5212" priority="6685" operator="containsText" text="$H$9">
      <formula>NOT(ISERROR(SEARCH($H$9,B408)))</formula>
      <formula>$H$9</formula>
    </cfRule>
    <cfRule type="containsText" dxfId="5211" priority="6684" operator="containsText" text="$H$10">
      <formula>NOT(ISERROR(SEARCH($H$10,B408)))</formula>
      <formula>$H$10</formula>
    </cfRule>
    <cfRule type="containsText" dxfId="5210" priority="6683" operator="containsText" text="$H$11">
      <formula>NOT(ISERROR(SEARCH($H$11,B408)))</formula>
      <formula>$H$11</formula>
    </cfRule>
    <cfRule type="containsText" dxfId="5209" priority="6682" operator="containsText" text="$H$12">
      <formula>NOT(ISERROR(SEARCH($H$12,B408)))</formula>
      <formula>$H$12</formula>
    </cfRule>
    <cfRule type="containsText" dxfId="5208" priority="6681" operator="containsText" text="$H$13">
      <formula>NOT(ISERROR(SEARCH($H$13,B408)))</formula>
      <formula>$H$13</formula>
    </cfRule>
  </conditionalFormatting>
  <conditionalFormatting sqref="B410">
    <cfRule type="containsText" dxfId="5207" priority="6680" operator="containsText" text="$H$7">
      <formula>NOT(ISERROR(SEARCH($H$7,B410)))</formula>
      <formula>$H$7</formula>
    </cfRule>
    <cfRule type="containsText" dxfId="5206" priority="6679" operator="containsText" text="$H$8">
      <formula>NOT(ISERROR(SEARCH($H$8,B410)))</formula>
      <formula>$H$8</formula>
    </cfRule>
    <cfRule type="containsText" dxfId="5205" priority="6678" operator="containsText" text="$H$8">
      <formula>NOT(ISERROR(SEARCH($H$8,B410)))</formula>
      <formula>$H$8</formula>
    </cfRule>
    <cfRule type="containsText" dxfId="5204" priority="6677" operator="containsText" text="$H$9">
      <formula>NOT(ISERROR(SEARCH($H$9,B410)))</formula>
      <formula>$H$9</formula>
    </cfRule>
    <cfRule type="containsText" dxfId="5203" priority="6676" operator="containsText" text="$H$10">
      <formula>NOT(ISERROR(SEARCH($H$10,B410)))</formula>
      <formula>$H$10</formula>
    </cfRule>
    <cfRule type="containsText" dxfId="5202" priority="6675" operator="containsText" text="$H$11">
      <formula>NOT(ISERROR(SEARCH($H$11,B410)))</formula>
      <formula>$H$11</formula>
    </cfRule>
    <cfRule type="containsText" dxfId="5201" priority="6674" operator="containsText" text="$H$12">
      <formula>NOT(ISERROR(SEARCH($H$12,B410)))</formula>
      <formula>$H$12</formula>
    </cfRule>
    <cfRule type="containsText" dxfId="5200" priority="6673" operator="containsText" text="$H$13">
      <formula>NOT(ISERROR(SEARCH($H$13,B410)))</formula>
      <formula>$H$13</formula>
    </cfRule>
  </conditionalFormatting>
  <conditionalFormatting sqref="B412">
    <cfRule type="containsText" dxfId="5199" priority="6672" operator="containsText" text="$H$7">
      <formula>NOT(ISERROR(SEARCH($H$7,B412)))</formula>
      <formula>$H$7</formula>
    </cfRule>
    <cfRule type="containsText" dxfId="5198" priority="6671" operator="containsText" text="$H$8">
      <formula>NOT(ISERROR(SEARCH($H$8,B412)))</formula>
      <formula>$H$8</formula>
    </cfRule>
    <cfRule type="containsText" dxfId="5197" priority="6670" operator="containsText" text="$H$8">
      <formula>NOT(ISERROR(SEARCH($H$8,B412)))</formula>
      <formula>$H$8</formula>
    </cfRule>
    <cfRule type="containsText" dxfId="5196" priority="6669" operator="containsText" text="$H$9">
      <formula>NOT(ISERROR(SEARCH($H$9,B412)))</formula>
      <formula>$H$9</formula>
    </cfRule>
    <cfRule type="containsText" dxfId="5195" priority="6668" operator="containsText" text="$H$10">
      <formula>NOT(ISERROR(SEARCH($H$10,B412)))</formula>
      <formula>$H$10</formula>
    </cfRule>
    <cfRule type="containsText" dxfId="5194" priority="6667" operator="containsText" text="$H$11">
      <formula>NOT(ISERROR(SEARCH($H$11,B412)))</formula>
      <formula>$H$11</formula>
    </cfRule>
    <cfRule type="containsText" dxfId="5193" priority="6666" operator="containsText" text="$H$12">
      <formula>NOT(ISERROR(SEARCH($H$12,B412)))</formula>
      <formula>$H$12</formula>
    </cfRule>
    <cfRule type="containsText" dxfId="5192" priority="6665" operator="containsText" text="$H$13">
      <formula>NOT(ISERROR(SEARCH($H$13,B412)))</formula>
      <formula>$H$13</formula>
    </cfRule>
  </conditionalFormatting>
  <conditionalFormatting sqref="B414">
    <cfRule type="containsText" dxfId="5191" priority="6664" operator="containsText" text="$H$7">
      <formula>NOT(ISERROR(SEARCH($H$7,B414)))</formula>
      <formula>$H$7</formula>
    </cfRule>
    <cfRule type="containsText" dxfId="5190" priority="6663" operator="containsText" text="$H$8">
      <formula>NOT(ISERROR(SEARCH($H$8,B414)))</formula>
      <formula>$H$8</formula>
    </cfRule>
    <cfRule type="containsText" dxfId="5189" priority="6662" operator="containsText" text="$H$8">
      <formula>NOT(ISERROR(SEARCH($H$8,B414)))</formula>
      <formula>$H$8</formula>
    </cfRule>
    <cfRule type="containsText" dxfId="5188" priority="6661" operator="containsText" text="$H$9">
      <formula>NOT(ISERROR(SEARCH($H$9,B414)))</formula>
      <formula>$H$9</formula>
    </cfRule>
    <cfRule type="containsText" dxfId="5187" priority="6660" operator="containsText" text="$H$10">
      <formula>NOT(ISERROR(SEARCH($H$10,B414)))</formula>
      <formula>$H$10</formula>
    </cfRule>
    <cfRule type="containsText" dxfId="5186" priority="6659" operator="containsText" text="$H$11">
      <formula>NOT(ISERROR(SEARCH($H$11,B414)))</formula>
      <formula>$H$11</formula>
    </cfRule>
    <cfRule type="containsText" dxfId="5185" priority="6658" operator="containsText" text="$H$12">
      <formula>NOT(ISERROR(SEARCH($H$12,B414)))</formula>
      <formula>$H$12</formula>
    </cfRule>
    <cfRule type="containsText" dxfId="5184" priority="6657" operator="containsText" text="$H$13">
      <formula>NOT(ISERROR(SEARCH($H$13,B414)))</formula>
      <formula>$H$13</formula>
    </cfRule>
  </conditionalFormatting>
  <conditionalFormatting sqref="B416">
    <cfRule type="containsText" dxfId="5183" priority="6656" operator="containsText" text="$H$7">
      <formula>NOT(ISERROR(SEARCH($H$7,B416)))</formula>
      <formula>$H$7</formula>
    </cfRule>
    <cfRule type="containsText" dxfId="5182" priority="6655" operator="containsText" text="$H$8">
      <formula>NOT(ISERROR(SEARCH($H$8,B416)))</formula>
      <formula>$H$8</formula>
    </cfRule>
    <cfRule type="containsText" dxfId="5181" priority="6654" operator="containsText" text="$H$8">
      <formula>NOT(ISERROR(SEARCH($H$8,B416)))</formula>
      <formula>$H$8</formula>
    </cfRule>
    <cfRule type="containsText" dxfId="5180" priority="6653" operator="containsText" text="$H$9">
      <formula>NOT(ISERROR(SEARCH($H$9,B416)))</formula>
      <formula>$H$9</formula>
    </cfRule>
    <cfRule type="containsText" dxfId="5179" priority="6652" operator="containsText" text="$H$10">
      <formula>NOT(ISERROR(SEARCH($H$10,B416)))</formula>
      <formula>$H$10</formula>
    </cfRule>
    <cfRule type="containsText" dxfId="5178" priority="6651" operator="containsText" text="$H$11">
      <formula>NOT(ISERROR(SEARCH($H$11,B416)))</formula>
      <formula>$H$11</formula>
    </cfRule>
    <cfRule type="containsText" dxfId="5177" priority="6650" operator="containsText" text="$H$12">
      <formula>NOT(ISERROR(SEARCH($H$12,B416)))</formula>
      <formula>$H$12</formula>
    </cfRule>
    <cfRule type="containsText" dxfId="5176" priority="6649" operator="containsText" text="$H$13">
      <formula>NOT(ISERROR(SEARCH($H$13,B416)))</formula>
      <formula>$H$13</formula>
    </cfRule>
  </conditionalFormatting>
  <conditionalFormatting sqref="C402">
    <cfRule type="containsText" dxfId="5175" priority="6648" operator="containsText" text="$H$7">
      <formula>NOT(ISERROR(SEARCH($H$7,C402)))</formula>
      <formula>$H$7</formula>
    </cfRule>
    <cfRule type="containsText" dxfId="5174" priority="6647" operator="containsText" text="$H$8">
      <formula>NOT(ISERROR(SEARCH($H$8,C402)))</formula>
      <formula>$H$8</formula>
    </cfRule>
    <cfRule type="containsText" dxfId="5173" priority="6646" operator="containsText" text="$H$8">
      <formula>NOT(ISERROR(SEARCH($H$8,C402)))</formula>
      <formula>$H$8</formula>
    </cfRule>
    <cfRule type="containsText" dxfId="5172" priority="6645" operator="containsText" text="$H$9">
      <formula>NOT(ISERROR(SEARCH($H$9,C402)))</formula>
      <formula>$H$9</formula>
    </cfRule>
    <cfRule type="containsText" dxfId="5171" priority="6644" operator="containsText" text="$H$10">
      <formula>NOT(ISERROR(SEARCH($H$10,C402)))</formula>
      <formula>$H$10</formula>
    </cfRule>
    <cfRule type="containsText" dxfId="5170" priority="6643" operator="containsText" text="$H$11">
      <formula>NOT(ISERROR(SEARCH($H$11,C402)))</formula>
      <formula>$H$11</formula>
    </cfRule>
    <cfRule type="containsText" dxfId="5169" priority="6642" operator="containsText" text="$H$12">
      <formula>NOT(ISERROR(SEARCH($H$12,C402)))</formula>
      <formula>$H$12</formula>
    </cfRule>
    <cfRule type="containsText" dxfId="5168" priority="6641" operator="containsText" text="$H$13">
      <formula>NOT(ISERROR(SEARCH($H$13,C402)))</formula>
      <formula>$H$13</formula>
    </cfRule>
  </conditionalFormatting>
  <conditionalFormatting sqref="C404">
    <cfRule type="containsText" dxfId="5167" priority="6640" operator="containsText" text="$H$7">
      <formula>NOT(ISERROR(SEARCH($H$7,C404)))</formula>
      <formula>$H$7</formula>
    </cfRule>
    <cfRule type="containsText" dxfId="5166" priority="6639" operator="containsText" text="$H$8">
      <formula>NOT(ISERROR(SEARCH($H$8,C404)))</formula>
      <formula>$H$8</formula>
    </cfRule>
    <cfRule type="containsText" dxfId="5165" priority="6638" operator="containsText" text="$H$8">
      <formula>NOT(ISERROR(SEARCH($H$8,C404)))</formula>
      <formula>$H$8</formula>
    </cfRule>
    <cfRule type="containsText" dxfId="5164" priority="6637" operator="containsText" text="$H$9">
      <formula>NOT(ISERROR(SEARCH($H$9,C404)))</formula>
      <formula>$H$9</formula>
    </cfRule>
    <cfRule type="containsText" dxfId="5163" priority="6636" operator="containsText" text="$H$10">
      <formula>NOT(ISERROR(SEARCH($H$10,C404)))</formula>
      <formula>$H$10</formula>
    </cfRule>
    <cfRule type="containsText" dxfId="5162" priority="6635" operator="containsText" text="$H$11">
      <formula>NOT(ISERROR(SEARCH($H$11,C404)))</formula>
      <formula>$H$11</formula>
    </cfRule>
    <cfRule type="containsText" dxfId="5161" priority="6634" operator="containsText" text="$H$12">
      <formula>NOT(ISERROR(SEARCH($H$12,C404)))</formula>
      <formula>$H$12</formula>
    </cfRule>
    <cfRule type="containsText" dxfId="5160" priority="6633" operator="containsText" text="$H$13">
      <formula>NOT(ISERROR(SEARCH($H$13,C404)))</formula>
      <formula>$H$13</formula>
    </cfRule>
  </conditionalFormatting>
  <conditionalFormatting sqref="C406">
    <cfRule type="containsText" dxfId="5159" priority="6632" operator="containsText" text="$H$7">
      <formula>NOT(ISERROR(SEARCH($H$7,C406)))</formula>
      <formula>$H$7</formula>
    </cfRule>
    <cfRule type="containsText" dxfId="5158" priority="6631" operator="containsText" text="$H$8">
      <formula>NOT(ISERROR(SEARCH($H$8,C406)))</formula>
      <formula>$H$8</formula>
    </cfRule>
    <cfRule type="containsText" dxfId="5157" priority="6630" operator="containsText" text="$H$8">
      <formula>NOT(ISERROR(SEARCH($H$8,C406)))</formula>
      <formula>$H$8</formula>
    </cfRule>
    <cfRule type="containsText" dxfId="5156" priority="6629" operator="containsText" text="$H$9">
      <formula>NOT(ISERROR(SEARCH($H$9,C406)))</formula>
      <formula>$H$9</formula>
    </cfRule>
    <cfRule type="containsText" dxfId="5155" priority="6628" operator="containsText" text="$H$10">
      <formula>NOT(ISERROR(SEARCH($H$10,C406)))</formula>
      <formula>$H$10</formula>
    </cfRule>
    <cfRule type="containsText" dxfId="5154" priority="6627" operator="containsText" text="$H$11">
      <formula>NOT(ISERROR(SEARCH($H$11,C406)))</formula>
      <formula>$H$11</formula>
    </cfRule>
    <cfRule type="containsText" dxfId="5153" priority="6626" operator="containsText" text="$H$12">
      <formula>NOT(ISERROR(SEARCH($H$12,C406)))</formula>
      <formula>$H$12</formula>
    </cfRule>
    <cfRule type="containsText" dxfId="5152" priority="6625" operator="containsText" text="$H$13">
      <formula>NOT(ISERROR(SEARCH($H$13,C406)))</formula>
      <formula>$H$13</formula>
    </cfRule>
  </conditionalFormatting>
  <conditionalFormatting sqref="C408">
    <cfRule type="containsText" dxfId="5151" priority="6624" operator="containsText" text="$H$7">
      <formula>NOT(ISERROR(SEARCH($H$7,C408)))</formula>
      <formula>$H$7</formula>
    </cfRule>
    <cfRule type="containsText" dxfId="5150" priority="6623" operator="containsText" text="$H$8">
      <formula>NOT(ISERROR(SEARCH($H$8,C408)))</formula>
      <formula>$H$8</formula>
    </cfRule>
    <cfRule type="containsText" dxfId="5149" priority="6622" operator="containsText" text="$H$8">
      <formula>NOT(ISERROR(SEARCH($H$8,C408)))</formula>
      <formula>$H$8</formula>
    </cfRule>
    <cfRule type="containsText" dxfId="5148" priority="6621" operator="containsText" text="$H$9">
      <formula>NOT(ISERROR(SEARCH($H$9,C408)))</formula>
      <formula>$H$9</formula>
    </cfRule>
    <cfRule type="containsText" dxfId="5147" priority="6620" operator="containsText" text="$H$10">
      <formula>NOT(ISERROR(SEARCH($H$10,C408)))</formula>
      <formula>$H$10</formula>
    </cfRule>
    <cfRule type="containsText" dxfId="5146" priority="6619" operator="containsText" text="$H$11">
      <formula>NOT(ISERROR(SEARCH($H$11,C408)))</formula>
      <formula>$H$11</formula>
    </cfRule>
    <cfRule type="containsText" dxfId="5145" priority="6618" operator="containsText" text="$H$12">
      <formula>NOT(ISERROR(SEARCH($H$12,C408)))</formula>
      <formula>$H$12</formula>
    </cfRule>
    <cfRule type="containsText" dxfId="5144" priority="6617" operator="containsText" text="$H$13">
      <formula>NOT(ISERROR(SEARCH($H$13,C408)))</formula>
      <formula>$H$13</formula>
    </cfRule>
  </conditionalFormatting>
  <conditionalFormatting sqref="C410">
    <cfRule type="containsText" dxfId="5143" priority="6616" operator="containsText" text="$H$7">
      <formula>NOT(ISERROR(SEARCH($H$7,C410)))</formula>
      <formula>$H$7</formula>
    </cfRule>
    <cfRule type="containsText" dxfId="5142" priority="6615" operator="containsText" text="$H$8">
      <formula>NOT(ISERROR(SEARCH($H$8,C410)))</formula>
      <formula>$H$8</formula>
    </cfRule>
    <cfRule type="containsText" dxfId="5141" priority="6614" operator="containsText" text="$H$8">
      <formula>NOT(ISERROR(SEARCH($H$8,C410)))</formula>
      <formula>$H$8</formula>
    </cfRule>
    <cfRule type="containsText" dxfId="5140" priority="6613" operator="containsText" text="$H$9">
      <formula>NOT(ISERROR(SEARCH($H$9,C410)))</formula>
      <formula>$H$9</formula>
    </cfRule>
    <cfRule type="containsText" dxfId="5139" priority="6612" operator="containsText" text="$H$10">
      <formula>NOT(ISERROR(SEARCH($H$10,C410)))</formula>
      <formula>$H$10</formula>
    </cfRule>
    <cfRule type="containsText" dxfId="5138" priority="6611" operator="containsText" text="$H$11">
      <formula>NOT(ISERROR(SEARCH($H$11,C410)))</formula>
      <formula>$H$11</formula>
    </cfRule>
    <cfRule type="containsText" dxfId="5137" priority="6610" operator="containsText" text="$H$12">
      <formula>NOT(ISERROR(SEARCH($H$12,C410)))</formula>
      <formula>$H$12</formula>
    </cfRule>
    <cfRule type="containsText" dxfId="5136" priority="6609" operator="containsText" text="$H$13">
      <formula>NOT(ISERROR(SEARCH($H$13,C410)))</formula>
      <formula>$H$13</formula>
    </cfRule>
  </conditionalFormatting>
  <conditionalFormatting sqref="C412">
    <cfRule type="containsText" dxfId="5135" priority="6608" operator="containsText" text="$H$7">
      <formula>NOT(ISERROR(SEARCH($H$7,C412)))</formula>
      <formula>$H$7</formula>
    </cfRule>
    <cfRule type="containsText" dxfId="5134" priority="6607" operator="containsText" text="$H$8">
      <formula>NOT(ISERROR(SEARCH($H$8,C412)))</formula>
      <formula>$H$8</formula>
    </cfRule>
    <cfRule type="containsText" dxfId="5133" priority="6606" operator="containsText" text="$H$8">
      <formula>NOT(ISERROR(SEARCH($H$8,C412)))</formula>
      <formula>$H$8</formula>
    </cfRule>
    <cfRule type="containsText" dxfId="5132" priority="6605" operator="containsText" text="$H$9">
      <formula>NOT(ISERROR(SEARCH($H$9,C412)))</formula>
      <formula>$H$9</formula>
    </cfRule>
    <cfRule type="containsText" dxfId="5131" priority="6604" operator="containsText" text="$H$10">
      <formula>NOT(ISERROR(SEARCH($H$10,C412)))</formula>
      <formula>$H$10</formula>
    </cfRule>
    <cfRule type="containsText" dxfId="5130" priority="6603" operator="containsText" text="$H$11">
      <formula>NOT(ISERROR(SEARCH($H$11,C412)))</formula>
      <formula>$H$11</formula>
    </cfRule>
    <cfRule type="containsText" dxfId="5129" priority="6602" operator="containsText" text="$H$12">
      <formula>NOT(ISERROR(SEARCH($H$12,C412)))</formula>
      <formula>$H$12</formula>
    </cfRule>
    <cfRule type="containsText" dxfId="5128" priority="6601" operator="containsText" text="$H$13">
      <formula>NOT(ISERROR(SEARCH($H$13,C412)))</formula>
      <formula>$H$13</formula>
    </cfRule>
  </conditionalFormatting>
  <conditionalFormatting sqref="C414">
    <cfRule type="containsText" dxfId="5127" priority="6600" operator="containsText" text="$H$7">
      <formula>NOT(ISERROR(SEARCH($H$7,C414)))</formula>
      <formula>$H$7</formula>
    </cfRule>
    <cfRule type="containsText" dxfId="5126" priority="6599" operator="containsText" text="$H$8">
      <formula>NOT(ISERROR(SEARCH($H$8,C414)))</formula>
      <formula>$H$8</formula>
    </cfRule>
    <cfRule type="containsText" dxfId="5125" priority="6598" operator="containsText" text="$H$8">
      <formula>NOT(ISERROR(SEARCH($H$8,C414)))</formula>
      <formula>$H$8</formula>
    </cfRule>
    <cfRule type="containsText" dxfId="5124" priority="6597" operator="containsText" text="$H$9">
      <formula>NOT(ISERROR(SEARCH($H$9,C414)))</formula>
      <formula>$H$9</formula>
    </cfRule>
    <cfRule type="containsText" dxfId="5123" priority="6596" operator="containsText" text="$H$10">
      <formula>NOT(ISERROR(SEARCH($H$10,C414)))</formula>
      <formula>$H$10</formula>
    </cfRule>
    <cfRule type="containsText" dxfId="5122" priority="6595" operator="containsText" text="$H$11">
      <formula>NOT(ISERROR(SEARCH($H$11,C414)))</formula>
      <formula>$H$11</formula>
    </cfRule>
    <cfRule type="containsText" dxfId="5121" priority="6594" operator="containsText" text="$H$12">
      <formula>NOT(ISERROR(SEARCH($H$12,C414)))</formula>
      <formula>$H$12</formula>
    </cfRule>
    <cfRule type="containsText" dxfId="5120" priority="6593" operator="containsText" text="$H$13">
      <formula>NOT(ISERROR(SEARCH($H$13,C414)))</formula>
      <formula>$H$13</formula>
    </cfRule>
  </conditionalFormatting>
  <conditionalFormatting sqref="C416">
    <cfRule type="containsText" dxfId="5119" priority="6592" operator="containsText" text="$H$7">
      <formula>NOT(ISERROR(SEARCH($H$7,C416)))</formula>
      <formula>$H$7</formula>
    </cfRule>
    <cfRule type="containsText" dxfId="5118" priority="6591" operator="containsText" text="$H$8">
      <formula>NOT(ISERROR(SEARCH($H$8,C416)))</formula>
      <formula>$H$8</formula>
    </cfRule>
    <cfRule type="containsText" dxfId="5117" priority="6590" operator="containsText" text="$H$8">
      <formula>NOT(ISERROR(SEARCH($H$8,C416)))</formula>
      <formula>$H$8</formula>
    </cfRule>
    <cfRule type="containsText" dxfId="5116" priority="6589" operator="containsText" text="$H$9">
      <formula>NOT(ISERROR(SEARCH($H$9,C416)))</formula>
      <formula>$H$9</formula>
    </cfRule>
    <cfRule type="containsText" dxfId="5115" priority="6588" operator="containsText" text="$H$10">
      <formula>NOT(ISERROR(SEARCH($H$10,C416)))</formula>
      <formula>$H$10</formula>
    </cfRule>
    <cfRule type="containsText" dxfId="5114" priority="6587" operator="containsText" text="$H$11">
      <formula>NOT(ISERROR(SEARCH($H$11,C416)))</formula>
      <formula>$H$11</formula>
    </cfRule>
    <cfRule type="containsText" dxfId="5113" priority="6586" operator="containsText" text="$H$12">
      <formula>NOT(ISERROR(SEARCH($H$12,C416)))</formula>
      <formula>$H$12</formula>
    </cfRule>
    <cfRule type="containsText" dxfId="5112" priority="6585" operator="containsText" text="$H$13">
      <formula>NOT(ISERROR(SEARCH($H$13,C416)))</formula>
      <formula>$H$13</formula>
    </cfRule>
  </conditionalFormatting>
  <conditionalFormatting sqref="D402">
    <cfRule type="containsText" dxfId="5111" priority="6584" operator="containsText" text="$H$7">
      <formula>NOT(ISERROR(SEARCH($H$7,D402)))</formula>
      <formula>$H$7</formula>
    </cfRule>
    <cfRule type="containsText" dxfId="5110" priority="6583" operator="containsText" text="$H$8">
      <formula>NOT(ISERROR(SEARCH($H$8,D402)))</formula>
      <formula>$H$8</formula>
    </cfRule>
    <cfRule type="containsText" dxfId="5109" priority="6582" operator="containsText" text="$H$8">
      <formula>NOT(ISERROR(SEARCH($H$8,D402)))</formula>
      <formula>$H$8</formula>
    </cfRule>
    <cfRule type="containsText" dxfId="5108" priority="6581" operator="containsText" text="$H$9">
      <formula>NOT(ISERROR(SEARCH($H$9,D402)))</formula>
      <formula>$H$9</formula>
    </cfRule>
    <cfRule type="containsText" dxfId="5107" priority="6580" operator="containsText" text="$H$10">
      <formula>NOT(ISERROR(SEARCH($H$10,D402)))</formula>
      <formula>$H$10</formula>
    </cfRule>
    <cfRule type="containsText" dxfId="5106" priority="6579" operator="containsText" text="$H$11">
      <formula>NOT(ISERROR(SEARCH($H$11,D402)))</formula>
      <formula>$H$11</formula>
    </cfRule>
    <cfRule type="containsText" dxfId="5105" priority="6578" operator="containsText" text="$H$12">
      <formula>NOT(ISERROR(SEARCH($H$12,D402)))</formula>
      <formula>$H$12</formula>
    </cfRule>
    <cfRule type="containsText" dxfId="5104" priority="6577" operator="containsText" text="$H$13">
      <formula>NOT(ISERROR(SEARCH($H$13,D402)))</formula>
      <formula>$H$13</formula>
    </cfRule>
  </conditionalFormatting>
  <conditionalFormatting sqref="D404">
    <cfRule type="containsText" dxfId="5103" priority="6576" operator="containsText" text="$H$7">
      <formula>NOT(ISERROR(SEARCH($H$7,D404)))</formula>
      <formula>$H$7</formula>
    </cfRule>
    <cfRule type="containsText" dxfId="5102" priority="6575" operator="containsText" text="$H$8">
      <formula>NOT(ISERROR(SEARCH($H$8,D404)))</formula>
      <formula>$H$8</formula>
    </cfRule>
    <cfRule type="containsText" dxfId="5101" priority="6574" operator="containsText" text="$H$8">
      <formula>NOT(ISERROR(SEARCH($H$8,D404)))</formula>
      <formula>$H$8</formula>
    </cfRule>
    <cfRule type="containsText" dxfId="5100" priority="6573" operator="containsText" text="$H$9">
      <formula>NOT(ISERROR(SEARCH($H$9,D404)))</formula>
      <formula>$H$9</formula>
    </cfRule>
    <cfRule type="containsText" dxfId="5099" priority="6572" operator="containsText" text="$H$10">
      <formula>NOT(ISERROR(SEARCH($H$10,D404)))</formula>
      <formula>$H$10</formula>
    </cfRule>
    <cfRule type="containsText" dxfId="5098" priority="6571" operator="containsText" text="$H$11">
      <formula>NOT(ISERROR(SEARCH($H$11,D404)))</formula>
      <formula>$H$11</formula>
    </cfRule>
    <cfRule type="containsText" dxfId="5097" priority="6570" operator="containsText" text="$H$12">
      <formula>NOT(ISERROR(SEARCH($H$12,D404)))</formula>
      <formula>$H$12</formula>
    </cfRule>
    <cfRule type="containsText" dxfId="5096" priority="6569" operator="containsText" text="$H$13">
      <formula>NOT(ISERROR(SEARCH($H$13,D404)))</formula>
      <formula>$H$13</formula>
    </cfRule>
  </conditionalFormatting>
  <conditionalFormatting sqref="D406">
    <cfRule type="containsText" dxfId="5095" priority="6568" operator="containsText" text="$H$7">
      <formula>NOT(ISERROR(SEARCH($H$7,D406)))</formula>
      <formula>$H$7</formula>
    </cfRule>
    <cfRule type="containsText" dxfId="5094" priority="6567" operator="containsText" text="$H$8">
      <formula>NOT(ISERROR(SEARCH($H$8,D406)))</formula>
      <formula>$H$8</formula>
    </cfRule>
    <cfRule type="containsText" dxfId="5093" priority="6566" operator="containsText" text="$H$8">
      <formula>NOT(ISERROR(SEARCH($H$8,D406)))</formula>
      <formula>$H$8</formula>
    </cfRule>
    <cfRule type="containsText" dxfId="5092" priority="6565" operator="containsText" text="$H$9">
      <formula>NOT(ISERROR(SEARCH($H$9,D406)))</formula>
      <formula>$H$9</formula>
    </cfRule>
    <cfRule type="containsText" dxfId="5091" priority="6564" operator="containsText" text="$H$10">
      <formula>NOT(ISERROR(SEARCH($H$10,D406)))</formula>
      <formula>$H$10</formula>
    </cfRule>
    <cfRule type="containsText" dxfId="5090" priority="6563" operator="containsText" text="$H$11">
      <formula>NOT(ISERROR(SEARCH($H$11,D406)))</formula>
      <formula>$H$11</formula>
    </cfRule>
    <cfRule type="containsText" dxfId="5089" priority="6562" operator="containsText" text="$H$12">
      <formula>NOT(ISERROR(SEARCH($H$12,D406)))</formula>
      <formula>$H$12</formula>
    </cfRule>
    <cfRule type="containsText" dxfId="5088" priority="6561" operator="containsText" text="$H$13">
      <formula>NOT(ISERROR(SEARCH($H$13,D406)))</formula>
      <formula>$H$13</formula>
    </cfRule>
  </conditionalFormatting>
  <conditionalFormatting sqref="D408">
    <cfRule type="containsText" dxfId="5087" priority="6560" operator="containsText" text="$H$7">
      <formula>NOT(ISERROR(SEARCH($H$7,D408)))</formula>
      <formula>$H$7</formula>
    </cfRule>
    <cfRule type="containsText" dxfId="5086" priority="6559" operator="containsText" text="$H$8">
      <formula>NOT(ISERROR(SEARCH($H$8,D408)))</formula>
      <formula>$H$8</formula>
    </cfRule>
    <cfRule type="containsText" dxfId="5085" priority="6558" operator="containsText" text="$H$8">
      <formula>NOT(ISERROR(SEARCH($H$8,D408)))</formula>
      <formula>$H$8</formula>
    </cfRule>
    <cfRule type="containsText" dxfId="5084" priority="6557" operator="containsText" text="$H$9">
      <formula>NOT(ISERROR(SEARCH($H$9,D408)))</formula>
      <formula>$H$9</formula>
    </cfRule>
    <cfRule type="containsText" dxfId="5083" priority="6556" operator="containsText" text="$H$10">
      <formula>NOT(ISERROR(SEARCH($H$10,D408)))</formula>
      <formula>$H$10</formula>
    </cfRule>
    <cfRule type="containsText" dxfId="5082" priority="6555" operator="containsText" text="$H$11">
      <formula>NOT(ISERROR(SEARCH($H$11,D408)))</formula>
      <formula>$H$11</formula>
    </cfRule>
    <cfRule type="containsText" dxfId="5081" priority="6554" operator="containsText" text="$H$12">
      <formula>NOT(ISERROR(SEARCH($H$12,D408)))</formula>
      <formula>$H$12</formula>
    </cfRule>
    <cfRule type="containsText" dxfId="5080" priority="6553" operator="containsText" text="$H$13">
      <formula>NOT(ISERROR(SEARCH($H$13,D408)))</formula>
      <formula>$H$13</formula>
    </cfRule>
  </conditionalFormatting>
  <conditionalFormatting sqref="D410:D411">
    <cfRule type="containsText" dxfId="5079" priority="6552" operator="containsText" text="$H$7">
      <formula>NOT(ISERROR(SEARCH($H$7,D410)))</formula>
      <formula>$H$7</formula>
    </cfRule>
    <cfRule type="containsText" dxfId="5078" priority="6551" operator="containsText" text="$H$8">
      <formula>NOT(ISERROR(SEARCH($H$8,D410)))</formula>
      <formula>$H$8</formula>
    </cfRule>
    <cfRule type="containsText" dxfId="5077" priority="6550" operator="containsText" text="$H$8">
      <formula>NOT(ISERROR(SEARCH($H$8,D410)))</formula>
      <formula>$H$8</formula>
    </cfRule>
    <cfRule type="containsText" dxfId="5076" priority="6549" operator="containsText" text="$H$9">
      <formula>NOT(ISERROR(SEARCH($H$9,D410)))</formula>
      <formula>$H$9</formula>
    </cfRule>
    <cfRule type="containsText" dxfId="5075" priority="6548" operator="containsText" text="$H$10">
      <formula>NOT(ISERROR(SEARCH($H$10,D410)))</formula>
      <formula>$H$10</formula>
    </cfRule>
    <cfRule type="containsText" dxfId="5074" priority="6547" operator="containsText" text="$H$11">
      <formula>NOT(ISERROR(SEARCH($H$11,D410)))</formula>
      <formula>$H$11</formula>
    </cfRule>
    <cfRule type="containsText" dxfId="5073" priority="6546" operator="containsText" text="$H$12">
      <formula>NOT(ISERROR(SEARCH($H$12,D410)))</formula>
      <formula>$H$12</formula>
    </cfRule>
    <cfRule type="containsText" dxfId="5072" priority="6545" operator="containsText" text="$H$13">
      <formula>NOT(ISERROR(SEARCH($H$13,D410)))</formula>
      <formula>$H$13</formula>
    </cfRule>
  </conditionalFormatting>
  <conditionalFormatting sqref="D412:D413">
    <cfRule type="containsText" dxfId="5071" priority="6544" operator="containsText" text="$H$7">
      <formula>NOT(ISERROR(SEARCH($H$7,D412)))</formula>
      <formula>$H$7</formula>
    </cfRule>
    <cfRule type="containsText" dxfId="5070" priority="6543" operator="containsText" text="$H$8">
      <formula>NOT(ISERROR(SEARCH($H$8,D412)))</formula>
      <formula>$H$8</formula>
    </cfRule>
    <cfRule type="containsText" dxfId="5069" priority="6542" operator="containsText" text="$H$8">
      <formula>NOT(ISERROR(SEARCH($H$8,D412)))</formula>
      <formula>$H$8</formula>
    </cfRule>
    <cfRule type="containsText" dxfId="5068" priority="6541" operator="containsText" text="$H$9">
      <formula>NOT(ISERROR(SEARCH($H$9,D412)))</formula>
      <formula>$H$9</formula>
    </cfRule>
    <cfRule type="containsText" dxfId="5067" priority="6540" operator="containsText" text="$H$10">
      <formula>NOT(ISERROR(SEARCH($H$10,D412)))</formula>
      <formula>$H$10</formula>
    </cfRule>
    <cfRule type="containsText" dxfId="5066" priority="6539" operator="containsText" text="$H$11">
      <formula>NOT(ISERROR(SEARCH($H$11,D412)))</formula>
      <formula>$H$11</formula>
    </cfRule>
    <cfRule type="containsText" dxfId="5065" priority="6538" operator="containsText" text="$H$12">
      <formula>NOT(ISERROR(SEARCH($H$12,D412)))</formula>
      <formula>$H$12</formula>
    </cfRule>
    <cfRule type="containsText" dxfId="5064" priority="6537" operator="containsText" text="$H$13">
      <formula>NOT(ISERROR(SEARCH($H$13,D412)))</formula>
      <formula>$H$13</formula>
    </cfRule>
  </conditionalFormatting>
  <conditionalFormatting sqref="D414:D415">
    <cfRule type="containsText" dxfId="5063" priority="6536" operator="containsText" text="$H$7">
      <formula>NOT(ISERROR(SEARCH($H$7,D414)))</formula>
      <formula>$H$7</formula>
    </cfRule>
    <cfRule type="containsText" dxfId="5062" priority="6535" operator="containsText" text="$H$8">
      <formula>NOT(ISERROR(SEARCH($H$8,D414)))</formula>
      <formula>$H$8</formula>
    </cfRule>
    <cfRule type="containsText" dxfId="5061" priority="6534" operator="containsText" text="$H$8">
      <formula>NOT(ISERROR(SEARCH($H$8,D414)))</formula>
      <formula>$H$8</formula>
    </cfRule>
    <cfRule type="containsText" dxfId="5060" priority="6533" operator="containsText" text="$H$9">
      <formula>NOT(ISERROR(SEARCH($H$9,D414)))</formula>
      <formula>$H$9</formula>
    </cfRule>
    <cfRule type="containsText" dxfId="5059" priority="6532" operator="containsText" text="$H$10">
      <formula>NOT(ISERROR(SEARCH($H$10,D414)))</formula>
      <formula>$H$10</formula>
    </cfRule>
    <cfRule type="containsText" dxfId="5058" priority="6531" operator="containsText" text="$H$11">
      <formula>NOT(ISERROR(SEARCH($H$11,D414)))</formula>
      <formula>$H$11</formula>
    </cfRule>
    <cfRule type="containsText" dxfId="5057" priority="6530" operator="containsText" text="$H$12">
      <formula>NOT(ISERROR(SEARCH($H$12,D414)))</formula>
      <formula>$H$12</formula>
    </cfRule>
    <cfRule type="containsText" dxfId="5056" priority="6529" operator="containsText" text="$H$13">
      <formula>NOT(ISERROR(SEARCH($H$13,D414)))</formula>
      <formula>$H$13</formula>
    </cfRule>
  </conditionalFormatting>
  <conditionalFormatting sqref="D416:D417">
    <cfRule type="containsText" dxfId="5055" priority="6528" operator="containsText" text="$H$7">
      <formula>NOT(ISERROR(SEARCH($H$7,D416)))</formula>
      <formula>$H$7</formula>
    </cfRule>
    <cfRule type="containsText" dxfId="5054" priority="6527" operator="containsText" text="$H$8">
      <formula>NOT(ISERROR(SEARCH($H$8,D416)))</formula>
      <formula>$H$8</formula>
    </cfRule>
    <cfRule type="containsText" dxfId="5053" priority="6526" operator="containsText" text="$H$8">
      <formula>NOT(ISERROR(SEARCH($H$8,D416)))</formula>
      <formula>$H$8</formula>
    </cfRule>
    <cfRule type="containsText" dxfId="5052" priority="6525" operator="containsText" text="$H$9">
      <formula>NOT(ISERROR(SEARCH($H$9,D416)))</formula>
      <formula>$H$9</formula>
    </cfRule>
    <cfRule type="containsText" dxfId="5051" priority="6524" operator="containsText" text="$H$10">
      <formula>NOT(ISERROR(SEARCH($H$10,D416)))</formula>
      <formula>$H$10</formula>
    </cfRule>
    <cfRule type="containsText" dxfId="5050" priority="6523" operator="containsText" text="$H$11">
      <formula>NOT(ISERROR(SEARCH($H$11,D416)))</formula>
      <formula>$H$11</formula>
    </cfRule>
    <cfRule type="containsText" dxfId="5049" priority="6522" operator="containsText" text="$H$12">
      <formula>NOT(ISERROR(SEARCH($H$12,D416)))</formula>
      <formula>$H$12</formula>
    </cfRule>
    <cfRule type="containsText" dxfId="5048" priority="6521" operator="containsText" text="$H$13">
      <formula>NOT(ISERROR(SEARCH($H$13,D416)))</formula>
      <formula>$H$13</formula>
    </cfRule>
  </conditionalFormatting>
  <conditionalFormatting sqref="E402">
    <cfRule type="containsText" dxfId="5047" priority="6520" operator="containsText" text="$H$7">
      <formula>NOT(ISERROR(SEARCH($H$7,E402)))</formula>
      <formula>$H$7</formula>
    </cfRule>
    <cfRule type="containsText" dxfId="5046" priority="6519" operator="containsText" text="$H$8">
      <formula>NOT(ISERROR(SEARCH($H$8,E402)))</formula>
      <formula>$H$8</formula>
    </cfRule>
    <cfRule type="containsText" dxfId="5045" priority="6518" operator="containsText" text="$H$8">
      <formula>NOT(ISERROR(SEARCH($H$8,E402)))</formula>
      <formula>$H$8</formula>
    </cfRule>
    <cfRule type="containsText" dxfId="5044" priority="6517" operator="containsText" text="$H$9">
      <formula>NOT(ISERROR(SEARCH($H$9,E402)))</formula>
      <formula>$H$9</formula>
    </cfRule>
    <cfRule type="containsText" dxfId="5043" priority="6516" operator="containsText" text="$H$10">
      <formula>NOT(ISERROR(SEARCH($H$10,E402)))</formula>
      <formula>$H$10</formula>
    </cfRule>
    <cfRule type="containsText" dxfId="5042" priority="6515" operator="containsText" text="$H$11">
      <formula>NOT(ISERROR(SEARCH($H$11,E402)))</formula>
      <formula>$H$11</formula>
    </cfRule>
    <cfRule type="containsText" dxfId="5041" priority="6514" operator="containsText" text="$H$12">
      <formula>NOT(ISERROR(SEARCH($H$12,E402)))</formula>
      <formula>$H$12</formula>
    </cfRule>
    <cfRule type="containsText" dxfId="5040" priority="6513" operator="containsText" text="$H$13">
      <formula>NOT(ISERROR(SEARCH($H$13,E402)))</formula>
      <formula>$H$13</formula>
    </cfRule>
  </conditionalFormatting>
  <conditionalFormatting sqref="E404">
    <cfRule type="containsText" dxfId="5039" priority="6512" operator="containsText" text="$H$7">
      <formula>NOT(ISERROR(SEARCH($H$7,E404)))</formula>
      <formula>$H$7</formula>
    </cfRule>
    <cfRule type="containsText" dxfId="5038" priority="6511" operator="containsText" text="$H$8">
      <formula>NOT(ISERROR(SEARCH($H$8,E404)))</formula>
      <formula>$H$8</formula>
    </cfRule>
    <cfRule type="containsText" dxfId="5037" priority="6510" operator="containsText" text="$H$8">
      <formula>NOT(ISERROR(SEARCH($H$8,E404)))</formula>
      <formula>$H$8</formula>
    </cfRule>
    <cfRule type="containsText" dxfId="5036" priority="6509" operator="containsText" text="$H$9">
      <formula>NOT(ISERROR(SEARCH($H$9,E404)))</formula>
      <formula>$H$9</formula>
    </cfRule>
    <cfRule type="containsText" dxfId="5035" priority="6508" operator="containsText" text="$H$10">
      <formula>NOT(ISERROR(SEARCH($H$10,E404)))</formula>
      <formula>$H$10</formula>
    </cfRule>
    <cfRule type="containsText" dxfId="5034" priority="6507" operator="containsText" text="$H$11">
      <formula>NOT(ISERROR(SEARCH($H$11,E404)))</formula>
      <formula>$H$11</formula>
    </cfRule>
    <cfRule type="containsText" dxfId="5033" priority="6506" operator="containsText" text="$H$12">
      <formula>NOT(ISERROR(SEARCH($H$12,E404)))</formula>
      <formula>$H$12</formula>
    </cfRule>
    <cfRule type="containsText" dxfId="5032" priority="6505" operator="containsText" text="$H$13">
      <formula>NOT(ISERROR(SEARCH($H$13,E404)))</formula>
      <formula>$H$13</formula>
    </cfRule>
  </conditionalFormatting>
  <conditionalFormatting sqref="E406">
    <cfRule type="containsText" dxfId="5031" priority="6504" operator="containsText" text="$H$7">
      <formula>NOT(ISERROR(SEARCH($H$7,E406)))</formula>
      <formula>$H$7</formula>
    </cfRule>
    <cfRule type="containsText" dxfId="5030" priority="6503" operator="containsText" text="$H$8">
      <formula>NOT(ISERROR(SEARCH($H$8,E406)))</formula>
      <formula>$H$8</formula>
    </cfRule>
    <cfRule type="containsText" dxfId="5029" priority="6502" operator="containsText" text="$H$8">
      <formula>NOT(ISERROR(SEARCH($H$8,E406)))</formula>
      <formula>$H$8</formula>
    </cfRule>
    <cfRule type="containsText" dxfId="5028" priority="6501" operator="containsText" text="$H$9">
      <formula>NOT(ISERROR(SEARCH($H$9,E406)))</formula>
      <formula>$H$9</formula>
    </cfRule>
    <cfRule type="containsText" dxfId="5027" priority="6500" operator="containsText" text="$H$10">
      <formula>NOT(ISERROR(SEARCH($H$10,E406)))</formula>
      <formula>$H$10</formula>
    </cfRule>
    <cfRule type="containsText" dxfId="5026" priority="6499" operator="containsText" text="$H$11">
      <formula>NOT(ISERROR(SEARCH($H$11,E406)))</formula>
      <formula>$H$11</formula>
    </cfRule>
    <cfRule type="containsText" dxfId="5025" priority="6498" operator="containsText" text="$H$12">
      <formula>NOT(ISERROR(SEARCH($H$12,E406)))</formula>
      <formula>$H$12</formula>
    </cfRule>
    <cfRule type="containsText" dxfId="5024" priority="6497" operator="containsText" text="$H$13">
      <formula>NOT(ISERROR(SEARCH($H$13,E406)))</formula>
      <formula>$H$13</formula>
    </cfRule>
  </conditionalFormatting>
  <conditionalFormatting sqref="E408">
    <cfRule type="containsText" dxfId="5023" priority="6496" operator="containsText" text="$H$7">
      <formula>NOT(ISERROR(SEARCH($H$7,E408)))</formula>
      <formula>$H$7</formula>
    </cfRule>
    <cfRule type="containsText" dxfId="5022" priority="6495" operator="containsText" text="$H$8">
      <formula>NOT(ISERROR(SEARCH($H$8,E408)))</formula>
      <formula>$H$8</formula>
    </cfRule>
    <cfRule type="containsText" dxfId="5021" priority="6494" operator="containsText" text="$H$8">
      <formula>NOT(ISERROR(SEARCH($H$8,E408)))</formula>
      <formula>$H$8</formula>
    </cfRule>
    <cfRule type="containsText" dxfId="5020" priority="6493" operator="containsText" text="$H$9">
      <formula>NOT(ISERROR(SEARCH($H$9,E408)))</formula>
      <formula>$H$9</formula>
    </cfRule>
    <cfRule type="containsText" dxfId="5019" priority="6492" operator="containsText" text="$H$10">
      <formula>NOT(ISERROR(SEARCH($H$10,E408)))</formula>
      <formula>$H$10</formula>
    </cfRule>
    <cfRule type="containsText" dxfId="5018" priority="6491" operator="containsText" text="$H$11">
      <formula>NOT(ISERROR(SEARCH($H$11,E408)))</formula>
      <formula>$H$11</formula>
    </cfRule>
    <cfRule type="containsText" dxfId="5017" priority="6490" operator="containsText" text="$H$12">
      <formula>NOT(ISERROR(SEARCH($H$12,E408)))</formula>
      <formula>$H$12</formula>
    </cfRule>
    <cfRule type="containsText" dxfId="5016" priority="6489" operator="containsText" text="$H$13">
      <formula>NOT(ISERROR(SEARCH($H$13,E408)))</formula>
      <formula>$H$13</formula>
    </cfRule>
  </conditionalFormatting>
  <conditionalFormatting sqref="E410">
    <cfRule type="containsText" dxfId="5015" priority="6488" operator="containsText" text="$H$7">
      <formula>NOT(ISERROR(SEARCH($H$7,E410)))</formula>
      <formula>$H$7</formula>
    </cfRule>
    <cfRule type="containsText" dxfId="5014" priority="6487" operator="containsText" text="$H$8">
      <formula>NOT(ISERROR(SEARCH($H$8,E410)))</formula>
      <formula>$H$8</formula>
    </cfRule>
    <cfRule type="containsText" dxfId="5013" priority="6486" operator="containsText" text="$H$8">
      <formula>NOT(ISERROR(SEARCH($H$8,E410)))</formula>
      <formula>$H$8</formula>
    </cfRule>
    <cfRule type="containsText" dxfId="5012" priority="6485" operator="containsText" text="$H$9">
      <formula>NOT(ISERROR(SEARCH($H$9,E410)))</formula>
      <formula>$H$9</formula>
    </cfRule>
    <cfRule type="containsText" dxfId="5011" priority="6484" operator="containsText" text="$H$10">
      <formula>NOT(ISERROR(SEARCH($H$10,E410)))</formula>
      <formula>$H$10</formula>
    </cfRule>
    <cfRule type="containsText" dxfId="5010" priority="6483" operator="containsText" text="$H$11">
      <formula>NOT(ISERROR(SEARCH($H$11,E410)))</formula>
      <formula>$H$11</formula>
    </cfRule>
    <cfRule type="containsText" dxfId="5009" priority="6482" operator="containsText" text="$H$12">
      <formula>NOT(ISERROR(SEARCH($H$12,E410)))</formula>
      <formula>$H$12</formula>
    </cfRule>
    <cfRule type="containsText" dxfId="5008" priority="6481" operator="containsText" text="$H$13">
      <formula>NOT(ISERROR(SEARCH($H$13,E410)))</formula>
      <formula>$H$13</formula>
    </cfRule>
  </conditionalFormatting>
  <conditionalFormatting sqref="E412">
    <cfRule type="containsText" dxfId="5007" priority="6480" operator="containsText" text="$H$7">
      <formula>NOT(ISERROR(SEARCH($H$7,E412)))</formula>
      <formula>$H$7</formula>
    </cfRule>
    <cfRule type="containsText" dxfId="5006" priority="6479" operator="containsText" text="$H$8">
      <formula>NOT(ISERROR(SEARCH($H$8,E412)))</formula>
      <formula>$H$8</formula>
    </cfRule>
    <cfRule type="containsText" dxfId="5005" priority="6478" operator="containsText" text="$H$8">
      <formula>NOT(ISERROR(SEARCH($H$8,E412)))</formula>
      <formula>$H$8</formula>
    </cfRule>
    <cfRule type="containsText" dxfId="5004" priority="6477" operator="containsText" text="$H$9">
      <formula>NOT(ISERROR(SEARCH($H$9,E412)))</formula>
      <formula>$H$9</formula>
    </cfRule>
    <cfRule type="containsText" dxfId="5003" priority="6476" operator="containsText" text="$H$10">
      <formula>NOT(ISERROR(SEARCH($H$10,E412)))</formula>
      <formula>$H$10</formula>
    </cfRule>
    <cfRule type="containsText" dxfId="5002" priority="6475" operator="containsText" text="$H$11">
      <formula>NOT(ISERROR(SEARCH($H$11,E412)))</formula>
      <formula>$H$11</formula>
    </cfRule>
    <cfRule type="containsText" dxfId="5001" priority="6474" operator="containsText" text="$H$12">
      <formula>NOT(ISERROR(SEARCH($H$12,E412)))</formula>
      <formula>$H$12</formula>
    </cfRule>
    <cfRule type="containsText" dxfId="5000" priority="6473" operator="containsText" text="$H$13">
      <formula>NOT(ISERROR(SEARCH($H$13,E412)))</formula>
      <formula>$H$13</formula>
    </cfRule>
  </conditionalFormatting>
  <conditionalFormatting sqref="E414">
    <cfRule type="containsText" dxfId="4999" priority="6472" operator="containsText" text="$H$7">
      <formula>NOT(ISERROR(SEARCH($H$7,E414)))</formula>
      <formula>$H$7</formula>
    </cfRule>
    <cfRule type="containsText" dxfId="4998" priority="6471" operator="containsText" text="$H$8">
      <formula>NOT(ISERROR(SEARCH($H$8,E414)))</formula>
      <formula>$H$8</formula>
    </cfRule>
    <cfRule type="containsText" dxfId="4997" priority="6470" operator="containsText" text="$H$8">
      <formula>NOT(ISERROR(SEARCH($H$8,E414)))</formula>
      <formula>$H$8</formula>
    </cfRule>
    <cfRule type="containsText" dxfId="4996" priority="6469" operator="containsText" text="$H$9">
      <formula>NOT(ISERROR(SEARCH($H$9,E414)))</formula>
      <formula>$H$9</formula>
    </cfRule>
    <cfRule type="containsText" dxfId="4995" priority="6468" operator="containsText" text="$H$10">
      <formula>NOT(ISERROR(SEARCH($H$10,E414)))</formula>
      <formula>$H$10</formula>
    </cfRule>
    <cfRule type="containsText" dxfId="4994" priority="6467" operator="containsText" text="$H$11">
      <formula>NOT(ISERROR(SEARCH($H$11,E414)))</formula>
      <formula>$H$11</formula>
    </cfRule>
    <cfRule type="containsText" dxfId="4993" priority="6466" operator="containsText" text="$H$12">
      <formula>NOT(ISERROR(SEARCH($H$12,E414)))</formula>
      <formula>$H$12</formula>
    </cfRule>
    <cfRule type="containsText" dxfId="4992" priority="6465" operator="containsText" text="$H$13">
      <formula>NOT(ISERROR(SEARCH($H$13,E414)))</formula>
      <formula>$H$13</formula>
    </cfRule>
  </conditionalFormatting>
  <conditionalFormatting sqref="E416">
    <cfRule type="containsText" dxfId="4991" priority="6464" operator="containsText" text="$H$7">
      <formula>NOT(ISERROR(SEARCH($H$7,E416)))</formula>
      <formula>$H$7</formula>
    </cfRule>
    <cfRule type="containsText" dxfId="4990" priority="6463" operator="containsText" text="$H$8">
      <formula>NOT(ISERROR(SEARCH($H$8,E416)))</formula>
      <formula>$H$8</formula>
    </cfRule>
    <cfRule type="containsText" dxfId="4989" priority="6462" operator="containsText" text="$H$8">
      <formula>NOT(ISERROR(SEARCH($H$8,E416)))</formula>
      <formula>$H$8</formula>
    </cfRule>
    <cfRule type="containsText" dxfId="4988" priority="6461" operator="containsText" text="$H$9">
      <formula>NOT(ISERROR(SEARCH($H$9,E416)))</formula>
      <formula>$H$9</formula>
    </cfRule>
    <cfRule type="containsText" dxfId="4987" priority="6460" operator="containsText" text="$H$10">
      <formula>NOT(ISERROR(SEARCH($H$10,E416)))</formula>
      <formula>$H$10</formula>
    </cfRule>
    <cfRule type="containsText" dxfId="4986" priority="6459" operator="containsText" text="$H$11">
      <formula>NOT(ISERROR(SEARCH($H$11,E416)))</formula>
      <formula>$H$11</formula>
    </cfRule>
    <cfRule type="containsText" dxfId="4985" priority="6458" operator="containsText" text="$H$12">
      <formula>NOT(ISERROR(SEARCH($H$12,E416)))</formula>
      <formula>$H$12</formula>
    </cfRule>
    <cfRule type="containsText" dxfId="4984" priority="6457" operator="containsText" text="$H$13">
      <formula>NOT(ISERROR(SEARCH($H$13,E416)))</formula>
      <formula>$H$13</formula>
    </cfRule>
  </conditionalFormatting>
  <conditionalFormatting sqref="F402">
    <cfRule type="containsText" dxfId="4983" priority="6456" operator="containsText" text="$H$7">
      <formula>NOT(ISERROR(SEARCH($H$7,F402)))</formula>
      <formula>$H$7</formula>
    </cfRule>
    <cfRule type="containsText" dxfId="4982" priority="6455" operator="containsText" text="$H$8">
      <formula>NOT(ISERROR(SEARCH($H$8,F402)))</formula>
      <formula>$H$8</formula>
    </cfRule>
    <cfRule type="containsText" dxfId="4981" priority="6454" operator="containsText" text="$H$8">
      <formula>NOT(ISERROR(SEARCH($H$8,F402)))</formula>
      <formula>$H$8</formula>
    </cfRule>
    <cfRule type="containsText" dxfId="4980" priority="6453" operator="containsText" text="$H$9">
      <formula>NOT(ISERROR(SEARCH($H$9,F402)))</formula>
      <formula>$H$9</formula>
    </cfRule>
    <cfRule type="containsText" dxfId="4979" priority="6452" operator="containsText" text="$H$10">
      <formula>NOT(ISERROR(SEARCH($H$10,F402)))</formula>
      <formula>$H$10</formula>
    </cfRule>
    <cfRule type="containsText" dxfId="4978" priority="6451" operator="containsText" text="$H$11">
      <formula>NOT(ISERROR(SEARCH($H$11,F402)))</formula>
      <formula>$H$11</formula>
    </cfRule>
    <cfRule type="containsText" dxfId="4977" priority="6450" operator="containsText" text="$H$12">
      <formula>NOT(ISERROR(SEARCH($H$12,F402)))</formula>
      <formula>$H$12</formula>
    </cfRule>
    <cfRule type="containsText" dxfId="4976" priority="6449" operator="containsText" text="$H$13">
      <formula>NOT(ISERROR(SEARCH($H$13,F402)))</formula>
      <formula>$H$13</formula>
    </cfRule>
  </conditionalFormatting>
  <conditionalFormatting sqref="F404">
    <cfRule type="containsText" dxfId="4975" priority="6448" operator="containsText" text="$H$7">
      <formula>NOT(ISERROR(SEARCH($H$7,F404)))</formula>
      <formula>$H$7</formula>
    </cfRule>
    <cfRule type="containsText" dxfId="4974" priority="6447" operator="containsText" text="$H$8">
      <formula>NOT(ISERROR(SEARCH($H$8,F404)))</formula>
      <formula>$H$8</formula>
    </cfRule>
    <cfRule type="containsText" dxfId="4973" priority="6446" operator="containsText" text="$H$8">
      <formula>NOT(ISERROR(SEARCH($H$8,F404)))</formula>
      <formula>$H$8</formula>
    </cfRule>
    <cfRule type="containsText" dxfId="4972" priority="6445" operator="containsText" text="$H$9">
      <formula>NOT(ISERROR(SEARCH($H$9,F404)))</formula>
      <formula>$H$9</formula>
    </cfRule>
    <cfRule type="containsText" dxfId="4971" priority="6444" operator="containsText" text="$H$10">
      <formula>NOT(ISERROR(SEARCH($H$10,F404)))</formula>
      <formula>$H$10</formula>
    </cfRule>
    <cfRule type="containsText" dxfId="4970" priority="6443" operator="containsText" text="$H$11">
      <formula>NOT(ISERROR(SEARCH($H$11,F404)))</formula>
      <formula>$H$11</formula>
    </cfRule>
    <cfRule type="containsText" dxfId="4969" priority="6442" operator="containsText" text="$H$12">
      <formula>NOT(ISERROR(SEARCH($H$12,F404)))</formula>
      <formula>$H$12</formula>
    </cfRule>
    <cfRule type="containsText" dxfId="4968" priority="6441" operator="containsText" text="$H$13">
      <formula>NOT(ISERROR(SEARCH($H$13,F404)))</formula>
      <formula>$H$13</formula>
    </cfRule>
  </conditionalFormatting>
  <conditionalFormatting sqref="F406">
    <cfRule type="containsText" dxfId="4967" priority="6440" operator="containsText" text="$H$7">
      <formula>NOT(ISERROR(SEARCH($H$7,F406)))</formula>
      <formula>$H$7</formula>
    </cfRule>
    <cfRule type="containsText" dxfId="4966" priority="6439" operator="containsText" text="$H$8">
      <formula>NOT(ISERROR(SEARCH($H$8,F406)))</formula>
      <formula>$H$8</formula>
    </cfRule>
    <cfRule type="containsText" dxfId="4965" priority="6438" operator="containsText" text="$H$8">
      <formula>NOT(ISERROR(SEARCH($H$8,F406)))</formula>
      <formula>$H$8</formula>
    </cfRule>
    <cfRule type="containsText" dxfId="4964" priority="6437" operator="containsText" text="$H$9">
      <formula>NOT(ISERROR(SEARCH($H$9,F406)))</formula>
      <formula>$H$9</formula>
    </cfRule>
    <cfRule type="containsText" dxfId="4963" priority="6436" operator="containsText" text="$H$10">
      <formula>NOT(ISERROR(SEARCH($H$10,F406)))</formula>
      <formula>$H$10</formula>
    </cfRule>
    <cfRule type="containsText" dxfId="4962" priority="6435" operator="containsText" text="$H$11">
      <formula>NOT(ISERROR(SEARCH($H$11,F406)))</formula>
      <formula>$H$11</formula>
    </cfRule>
    <cfRule type="containsText" dxfId="4961" priority="6434" operator="containsText" text="$H$12">
      <formula>NOT(ISERROR(SEARCH($H$12,F406)))</formula>
      <formula>$H$12</formula>
    </cfRule>
    <cfRule type="containsText" dxfId="4960" priority="6433" operator="containsText" text="$H$13">
      <formula>NOT(ISERROR(SEARCH($H$13,F406)))</formula>
      <formula>$H$13</formula>
    </cfRule>
  </conditionalFormatting>
  <conditionalFormatting sqref="F408">
    <cfRule type="containsText" dxfId="4959" priority="6432" operator="containsText" text="$H$7">
      <formula>NOT(ISERROR(SEARCH($H$7,F408)))</formula>
      <formula>$H$7</formula>
    </cfRule>
    <cfRule type="containsText" dxfId="4958" priority="6431" operator="containsText" text="$H$8">
      <formula>NOT(ISERROR(SEARCH($H$8,F408)))</formula>
      <formula>$H$8</formula>
    </cfRule>
    <cfRule type="containsText" dxfId="4957" priority="6430" operator="containsText" text="$H$8">
      <formula>NOT(ISERROR(SEARCH($H$8,F408)))</formula>
      <formula>$H$8</formula>
    </cfRule>
    <cfRule type="containsText" dxfId="4956" priority="6429" operator="containsText" text="$H$9">
      <formula>NOT(ISERROR(SEARCH($H$9,F408)))</formula>
      <formula>$H$9</formula>
    </cfRule>
    <cfRule type="containsText" dxfId="4955" priority="6428" operator="containsText" text="$H$10">
      <formula>NOT(ISERROR(SEARCH($H$10,F408)))</formula>
      <formula>$H$10</formula>
    </cfRule>
    <cfRule type="containsText" dxfId="4954" priority="6427" operator="containsText" text="$H$11">
      <formula>NOT(ISERROR(SEARCH($H$11,F408)))</formula>
      <formula>$H$11</formula>
    </cfRule>
    <cfRule type="containsText" dxfId="4953" priority="6426" operator="containsText" text="$H$12">
      <formula>NOT(ISERROR(SEARCH($H$12,F408)))</formula>
      <formula>$H$12</formula>
    </cfRule>
    <cfRule type="containsText" dxfId="4952" priority="6425" operator="containsText" text="$H$13">
      <formula>NOT(ISERROR(SEARCH($H$13,F408)))</formula>
      <formula>$H$13</formula>
    </cfRule>
  </conditionalFormatting>
  <conditionalFormatting sqref="F410">
    <cfRule type="containsText" dxfId="4951" priority="6424" operator="containsText" text="$H$7">
      <formula>NOT(ISERROR(SEARCH($H$7,F410)))</formula>
      <formula>$H$7</formula>
    </cfRule>
    <cfRule type="containsText" dxfId="4950" priority="6423" operator="containsText" text="$H$8">
      <formula>NOT(ISERROR(SEARCH($H$8,F410)))</formula>
      <formula>$H$8</formula>
    </cfRule>
    <cfRule type="containsText" dxfId="4949" priority="6422" operator="containsText" text="$H$8">
      <formula>NOT(ISERROR(SEARCH($H$8,F410)))</formula>
      <formula>$H$8</formula>
    </cfRule>
    <cfRule type="containsText" dxfId="4948" priority="6421" operator="containsText" text="$H$9">
      <formula>NOT(ISERROR(SEARCH($H$9,F410)))</formula>
      <formula>$H$9</formula>
    </cfRule>
    <cfRule type="containsText" dxfId="4947" priority="6420" operator="containsText" text="$H$10">
      <formula>NOT(ISERROR(SEARCH($H$10,F410)))</formula>
      <formula>$H$10</formula>
    </cfRule>
    <cfRule type="containsText" dxfId="4946" priority="6419" operator="containsText" text="$H$11">
      <formula>NOT(ISERROR(SEARCH($H$11,F410)))</formula>
      <formula>$H$11</formula>
    </cfRule>
    <cfRule type="containsText" dxfId="4945" priority="6418" operator="containsText" text="$H$12">
      <formula>NOT(ISERROR(SEARCH($H$12,F410)))</formula>
      <formula>$H$12</formula>
    </cfRule>
    <cfRule type="containsText" dxfId="4944" priority="6417" operator="containsText" text="$H$13">
      <formula>NOT(ISERROR(SEARCH($H$13,F410)))</formula>
      <formula>$H$13</formula>
    </cfRule>
  </conditionalFormatting>
  <conditionalFormatting sqref="F412">
    <cfRule type="containsText" dxfId="4943" priority="6416" operator="containsText" text="$H$7">
      <formula>NOT(ISERROR(SEARCH($H$7,F412)))</formula>
      <formula>$H$7</formula>
    </cfRule>
    <cfRule type="containsText" dxfId="4942" priority="6415" operator="containsText" text="$H$8">
      <formula>NOT(ISERROR(SEARCH($H$8,F412)))</formula>
      <formula>$H$8</formula>
    </cfRule>
    <cfRule type="containsText" dxfId="4941" priority="6414" operator="containsText" text="$H$8">
      <formula>NOT(ISERROR(SEARCH($H$8,F412)))</formula>
      <formula>$H$8</formula>
    </cfRule>
    <cfRule type="containsText" dxfId="4940" priority="6413" operator="containsText" text="$H$9">
      <formula>NOT(ISERROR(SEARCH($H$9,F412)))</formula>
      <formula>$H$9</formula>
    </cfRule>
    <cfRule type="containsText" dxfId="4939" priority="6412" operator="containsText" text="$H$10">
      <formula>NOT(ISERROR(SEARCH($H$10,F412)))</formula>
      <formula>$H$10</formula>
    </cfRule>
    <cfRule type="containsText" dxfId="4938" priority="6411" operator="containsText" text="$H$11">
      <formula>NOT(ISERROR(SEARCH($H$11,F412)))</formula>
      <formula>$H$11</formula>
    </cfRule>
    <cfRule type="containsText" dxfId="4937" priority="6410" operator="containsText" text="$H$12">
      <formula>NOT(ISERROR(SEARCH($H$12,F412)))</formula>
      <formula>$H$12</formula>
    </cfRule>
    <cfRule type="containsText" dxfId="4936" priority="6409" operator="containsText" text="$H$13">
      <formula>NOT(ISERROR(SEARCH($H$13,F412)))</formula>
      <formula>$H$13</formula>
    </cfRule>
  </conditionalFormatting>
  <conditionalFormatting sqref="F414">
    <cfRule type="containsText" dxfId="4935" priority="6408" operator="containsText" text="$H$7">
      <formula>NOT(ISERROR(SEARCH($H$7,F414)))</formula>
      <formula>$H$7</formula>
    </cfRule>
    <cfRule type="containsText" dxfId="4934" priority="6407" operator="containsText" text="$H$8">
      <formula>NOT(ISERROR(SEARCH($H$8,F414)))</formula>
      <formula>$H$8</formula>
    </cfRule>
    <cfRule type="containsText" dxfId="4933" priority="6406" operator="containsText" text="$H$8">
      <formula>NOT(ISERROR(SEARCH($H$8,F414)))</formula>
      <formula>$H$8</formula>
    </cfRule>
    <cfRule type="containsText" dxfId="4932" priority="6405" operator="containsText" text="$H$9">
      <formula>NOT(ISERROR(SEARCH($H$9,F414)))</formula>
      <formula>$H$9</formula>
    </cfRule>
    <cfRule type="containsText" dxfId="4931" priority="6404" operator="containsText" text="$H$10">
      <formula>NOT(ISERROR(SEARCH($H$10,F414)))</formula>
      <formula>$H$10</formula>
    </cfRule>
    <cfRule type="containsText" dxfId="4930" priority="6403" operator="containsText" text="$H$11">
      <formula>NOT(ISERROR(SEARCH($H$11,F414)))</formula>
      <formula>$H$11</formula>
    </cfRule>
    <cfRule type="containsText" dxfId="4929" priority="6402" operator="containsText" text="$H$12">
      <formula>NOT(ISERROR(SEARCH($H$12,F414)))</formula>
      <formula>$H$12</formula>
    </cfRule>
    <cfRule type="containsText" dxfId="4928" priority="6401" operator="containsText" text="$H$13">
      <formula>NOT(ISERROR(SEARCH($H$13,F414)))</formula>
      <formula>$H$13</formula>
    </cfRule>
  </conditionalFormatting>
  <conditionalFormatting sqref="F416">
    <cfRule type="containsText" dxfId="4927" priority="6400" operator="containsText" text="$H$7">
      <formula>NOT(ISERROR(SEARCH($H$7,F416)))</formula>
      <formula>$H$7</formula>
    </cfRule>
    <cfRule type="containsText" dxfId="4926" priority="6399" operator="containsText" text="$H$8">
      <formula>NOT(ISERROR(SEARCH($H$8,F416)))</formula>
      <formula>$H$8</formula>
    </cfRule>
    <cfRule type="containsText" dxfId="4925" priority="6398" operator="containsText" text="$H$8">
      <formula>NOT(ISERROR(SEARCH($H$8,F416)))</formula>
      <formula>$H$8</formula>
    </cfRule>
    <cfRule type="containsText" dxfId="4924" priority="6397" operator="containsText" text="$H$9">
      <formula>NOT(ISERROR(SEARCH($H$9,F416)))</formula>
      <formula>$H$9</formula>
    </cfRule>
    <cfRule type="containsText" dxfId="4923" priority="6396" operator="containsText" text="$H$10">
      <formula>NOT(ISERROR(SEARCH($H$10,F416)))</formula>
      <formula>$H$10</formula>
    </cfRule>
    <cfRule type="containsText" dxfId="4922" priority="6395" operator="containsText" text="$H$11">
      <formula>NOT(ISERROR(SEARCH($H$11,F416)))</formula>
      <formula>$H$11</formula>
    </cfRule>
    <cfRule type="containsText" dxfId="4921" priority="6394" operator="containsText" text="$H$12">
      <formula>NOT(ISERROR(SEARCH($H$12,F416)))</formula>
      <formula>$H$12</formula>
    </cfRule>
    <cfRule type="containsText" dxfId="4920" priority="6393" operator="containsText" text="$H$13">
      <formula>NOT(ISERROR(SEARCH($H$13,F416)))</formula>
      <formula>$H$13</formula>
    </cfRule>
  </conditionalFormatting>
  <conditionalFormatting sqref="B420">
    <cfRule type="containsText" dxfId="4919" priority="6392" operator="containsText" text="$H$7">
      <formula>NOT(ISERROR(SEARCH($H$7,B420)))</formula>
      <formula>$H$7</formula>
    </cfRule>
    <cfRule type="containsText" dxfId="4918" priority="6391" operator="containsText" text="$H$8">
      <formula>NOT(ISERROR(SEARCH($H$8,B420)))</formula>
      <formula>$H$8</formula>
    </cfRule>
    <cfRule type="containsText" dxfId="4917" priority="6390" operator="containsText" text="$H$8">
      <formula>NOT(ISERROR(SEARCH($H$8,B420)))</formula>
      <formula>$H$8</formula>
    </cfRule>
    <cfRule type="containsText" dxfId="4916" priority="6389" operator="containsText" text="$H$9">
      <formula>NOT(ISERROR(SEARCH($H$9,B420)))</formula>
      <formula>$H$9</formula>
    </cfRule>
    <cfRule type="containsText" dxfId="4915" priority="6388" operator="containsText" text="$H$10">
      <formula>NOT(ISERROR(SEARCH($H$10,B420)))</formula>
      <formula>$H$10</formula>
    </cfRule>
    <cfRule type="containsText" dxfId="4914" priority="6387" operator="containsText" text="$H$11">
      <formula>NOT(ISERROR(SEARCH($H$11,B420)))</formula>
      <formula>$H$11</formula>
    </cfRule>
    <cfRule type="containsText" dxfId="4913" priority="6386" operator="containsText" text="$H$12">
      <formula>NOT(ISERROR(SEARCH($H$12,B420)))</formula>
      <formula>$H$12</formula>
    </cfRule>
    <cfRule type="containsText" dxfId="4912" priority="6385" operator="containsText" text="$H$13">
      <formula>NOT(ISERROR(SEARCH($H$13,B420)))</formula>
      <formula>$H$13</formula>
    </cfRule>
  </conditionalFormatting>
  <conditionalFormatting sqref="B422">
    <cfRule type="containsText" dxfId="4911" priority="6384" operator="containsText" text="$H$7">
      <formula>NOT(ISERROR(SEARCH($H$7,B422)))</formula>
      <formula>$H$7</formula>
    </cfRule>
    <cfRule type="containsText" dxfId="4910" priority="6383" operator="containsText" text="$H$8">
      <formula>NOT(ISERROR(SEARCH($H$8,B422)))</formula>
      <formula>$H$8</formula>
    </cfRule>
    <cfRule type="containsText" dxfId="4909" priority="6382" operator="containsText" text="$H$8">
      <formula>NOT(ISERROR(SEARCH($H$8,B422)))</formula>
      <formula>$H$8</formula>
    </cfRule>
    <cfRule type="containsText" dxfId="4908" priority="6381" operator="containsText" text="$H$9">
      <formula>NOT(ISERROR(SEARCH($H$9,B422)))</formula>
      <formula>$H$9</formula>
    </cfRule>
    <cfRule type="containsText" dxfId="4907" priority="6380" operator="containsText" text="$H$10">
      <formula>NOT(ISERROR(SEARCH($H$10,B422)))</formula>
      <formula>$H$10</formula>
    </cfRule>
    <cfRule type="containsText" dxfId="4906" priority="6379" operator="containsText" text="$H$11">
      <formula>NOT(ISERROR(SEARCH($H$11,B422)))</formula>
      <formula>$H$11</formula>
    </cfRule>
    <cfRule type="containsText" dxfId="4905" priority="6378" operator="containsText" text="$H$12">
      <formula>NOT(ISERROR(SEARCH($H$12,B422)))</formula>
      <formula>$H$12</formula>
    </cfRule>
    <cfRule type="containsText" dxfId="4904" priority="6377" operator="containsText" text="$H$13">
      <formula>NOT(ISERROR(SEARCH($H$13,B422)))</formula>
      <formula>$H$13</formula>
    </cfRule>
  </conditionalFormatting>
  <conditionalFormatting sqref="B424">
    <cfRule type="containsText" dxfId="4903" priority="6376" operator="containsText" text="$H$7">
      <formula>NOT(ISERROR(SEARCH($H$7,B424)))</formula>
      <formula>$H$7</formula>
    </cfRule>
    <cfRule type="containsText" dxfId="4902" priority="6375" operator="containsText" text="$H$8">
      <formula>NOT(ISERROR(SEARCH($H$8,B424)))</formula>
      <formula>$H$8</formula>
    </cfRule>
    <cfRule type="containsText" dxfId="4901" priority="6374" operator="containsText" text="$H$8">
      <formula>NOT(ISERROR(SEARCH($H$8,B424)))</formula>
      <formula>$H$8</formula>
    </cfRule>
    <cfRule type="containsText" dxfId="4900" priority="6373" operator="containsText" text="$H$9">
      <formula>NOT(ISERROR(SEARCH($H$9,B424)))</formula>
      <formula>$H$9</formula>
    </cfRule>
    <cfRule type="containsText" dxfId="4899" priority="6372" operator="containsText" text="$H$10">
      <formula>NOT(ISERROR(SEARCH($H$10,B424)))</formula>
      <formula>$H$10</formula>
    </cfRule>
    <cfRule type="containsText" dxfId="4898" priority="6371" operator="containsText" text="$H$11">
      <formula>NOT(ISERROR(SEARCH($H$11,B424)))</formula>
      <formula>$H$11</formula>
    </cfRule>
    <cfRule type="containsText" dxfId="4897" priority="6370" operator="containsText" text="$H$12">
      <formula>NOT(ISERROR(SEARCH($H$12,B424)))</formula>
      <formula>$H$12</formula>
    </cfRule>
    <cfRule type="containsText" dxfId="4896" priority="6369" operator="containsText" text="$H$13">
      <formula>NOT(ISERROR(SEARCH($H$13,B424)))</formula>
      <formula>$H$13</formula>
    </cfRule>
  </conditionalFormatting>
  <conditionalFormatting sqref="B426">
    <cfRule type="containsText" dxfId="4895" priority="6368" operator="containsText" text="$H$7">
      <formula>NOT(ISERROR(SEARCH($H$7,B426)))</formula>
      <formula>$H$7</formula>
    </cfRule>
    <cfRule type="containsText" dxfId="4894" priority="6367" operator="containsText" text="$H$8">
      <formula>NOT(ISERROR(SEARCH($H$8,B426)))</formula>
      <formula>$H$8</formula>
    </cfRule>
    <cfRule type="containsText" dxfId="4893" priority="6366" operator="containsText" text="$H$8">
      <formula>NOT(ISERROR(SEARCH($H$8,B426)))</formula>
      <formula>$H$8</formula>
    </cfRule>
    <cfRule type="containsText" dxfId="4892" priority="6365" operator="containsText" text="$H$9">
      <formula>NOT(ISERROR(SEARCH($H$9,B426)))</formula>
      <formula>$H$9</formula>
    </cfRule>
    <cfRule type="containsText" dxfId="4891" priority="6364" operator="containsText" text="$H$10">
      <formula>NOT(ISERROR(SEARCH($H$10,B426)))</formula>
      <formula>$H$10</formula>
    </cfRule>
    <cfRule type="containsText" dxfId="4890" priority="6363" operator="containsText" text="$H$11">
      <formula>NOT(ISERROR(SEARCH($H$11,B426)))</formula>
      <formula>$H$11</formula>
    </cfRule>
    <cfRule type="containsText" dxfId="4889" priority="6362" operator="containsText" text="$H$12">
      <formula>NOT(ISERROR(SEARCH($H$12,B426)))</formula>
      <formula>$H$12</formula>
    </cfRule>
    <cfRule type="containsText" dxfId="4888" priority="6361" operator="containsText" text="$H$13">
      <formula>NOT(ISERROR(SEARCH($H$13,B426)))</formula>
      <formula>$H$13</formula>
    </cfRule>
  </conditionalFormatting>
  <conditionalFormatting sqref="C420">
    <cfRule type="containsText" dxfId="4887" priority="6328" operator="containsText" text="$H$7">
      <formula>NOT(ISERROR(SEARCH($H$7,C420)))</formula>
      <formula>$H$7</formula>
    </cfRule>
    <cfRule type="containsText" dxfId="4886" priority="6327" operator="containsText" text="$H$8">
      <formula>NOT(ISERROR(SEARCH($H$8,C420)))</formula>
      <formula>$H$8</formula>
    </cfRule>
    <cfRule type="containsText" dxfId="4885" priority="6326" operator="containsText" text="$H$8">
      <formula>NOT(ISERROR(SEARCH($H$8,C420)))</formula>
      <formula>$H$8</formula>
    </cfRule>
    <cfRule type="containsText" dxfId="4884" priority="6325" operator="containsText" text="$H$9">
      <formula>NOT(ISERROR(SEARCH($H$9,C420)))</formula>
      <formula>$H$9</formula>
    </cfRule>
    <cfRule type="containsText" dxfId="4883" priority="6324" operator="containsText" text="$H$10">
      <formula>NOT(ISERROR(SEARCH($H$10,C420)))</formula>
      <formula>$H$10</formula>
    </cfRule>
    <cfRule type="containsText" dxfId="4882" priority="6323" operator="containsText" text="$H$11">
      <formula>NOT(ISERROR(SEARCH($H$11,C420)))</formula>
      <formula>$H$11</formula>
    </cfRule>
    <cfRule type="containsText" dxfId="4881" priority="6322" operator="containsText" text="$H$12">
      <formula>NOT(ISERROR(SEARCH($H$12,C420)))</formula>
      <formula>$H$12</formula>
    </cfRule>
    <cfRule type="containsText" dxfId="4880" priority="6321" operator="containsText" text="$H$13">
      <formula>NOT(ISERROR(SEARCH($H$13,C420)))</formula>
      <formula>$H$13</formula>
    </cfRule>
  </conditionalFormatting>
  <conditionalFormatting sqref="C422">
    <cfRule type="containsText" dxfId="4879" priority="6320" operator="containsText" text="$H$7">
      <formula>NOT(ISERROR(SEARCH($H$7,C422)))</formula>
      <formula>$H$7</formula>
    </cfRule>
    <cfRule type="containsText" dxfId="4878" priority="6319" operator="containsText" text="$H$8">
      <formula>NOT(ISERROR(SEARCH($H$8,C422)))</formula>
      <formula>$H$8</formula>
    </cfRule>
    <cfRule type="containsText" dxfId="4877" priority="6318" operator="containsText" text="$H$8">
      <formula>NOT(ISERROR(SEARCH($H$8,C422)))</formula>
      <formula>$H$8</formula>
    </cfRule>
    <cfRule type="containsText" dxfId="4876" priority="6317" operator="containsText" text="$H$9">
      <formula>NOT(ISERROR(SEARCH($H$9,C422)))</formula>
      <formula>$H$9</formula>
    </cfRule>
    <cfRule type="containsText" dxfId="4875" priority="6316" operator="containsText" text="$H$10">
      <formula>NOT(ISERROR(SEARCH($H$10,C422)))</formula>
      <formula>$H$10</formula>
    </cfRule>
    <cfRule type="containsText" dxfId="4874" priority="6315" operator="containsText" text="$H$11">
      <formula>NOT(ISERROR(SEARCH($H$11,C422)))</formula>
      <formula>$H$11</formula>
    </cfRule>
    <cfRule type="containsText" dxfId="4873" priority="6314" operator="containsText" text="$H$12">
      <formula>NOT(ISERROR(SEARCH($H$12,C422)))</formula>
      <formula>$H$12</formula>
    </cfRule>
    <cfRule type="containsText" dxfId="4872" priority="6313" operator="containsText" text="$H$13">
      <formula>NOT(ISERROR(SEARCH($H$13,C422)))</formula>
      <formula>$H$13</formula>
    </cfRule>
  </conditionalFormatting>
  <conditionalFormatting sqref="C424">
    <cfRule type="containsText" dxfId="4871" priority="6312" operator="containsText" text="$H$7">
      <formula>NOT(ISERROR(SEARCH($H$7,C424)))</formula>
      <formula>$H$7</formula>
    </cfRule>
    <cfRule type="containsText" dxfId="4870" priority="6311" operator="containsText" text="$H$8">
      <formula>NOT(ISERROR(SEARCH($H$8,C424)))</formula>
      <formula>$H$8</formula>
    </cfRule>
    <cfRule type="containsText" dxfId="4869" priority="6310" operator="containsText" text="$H$8">
      <formula>NOT(ISERROR(SEARCH($H$8,C424)))</formula>
      <formula>$H$8</formula>
    </cfRule>
    <cfRule type="containsText" dxfId="4868" priority="6309" operator="containsText" text="$H$9">
      <formula>NOT(ISERROR(SEARCH($H$9,C424)))</formula>
      <formula>$H$9</formula>
    </cfRule>
    <cfRule type="containsText" dxfId="4867" priority="6308" operator="containsText" text="$H$10">
      <formula>NOT(ISERROR(SEARCH($H$10,C424)))</formula>
      <formula>$H$10</formula>
    </cfRule>
    <cfRule type="containsText" dxfId="4866" priority="6307" operator="containsText" text="$H$11">
      <formula>NOT(ISERROR(SEARCH($H$11,C424)))</formula>
      <formula>$H$11</formula>
    </cfRule>
    <cfRule type="containsText" dxfId="4865" priority="6306" operator="containsText" text="$H$12">
      <formula>NOT(ISERROR(SEARCH($H$12,C424)))</formula>
      <formula>$H$12</formula>
    </cfRule>
    <cfRule type="containsText" dxfId="4864" priority="6305" operator="containsText" text="$H$13">
      <formula>NOT(ISERROR(SEARCH($H$13,C424)))</formula>
      <formula>$H$13</formula>
    </cfRule>
  </conditionalFormatting>
  <conditionalFormatting sqref="C426">
    <cfRule type="containsText" dxfId="4863" priority="6304" operator="containsText" text="$H$7">
      <formula>NOT(ISERROR(SEARCH($H$7,C426)))</formula>
      <formula>$H$7</formula>
    </cfRule>
    <cfRule type="containsText" dxfId="4862" priority="6303" operator="containsText" text="$H$8">
      <formula>NOT(ISERROR(SEARCH($H$8,C426)))</formula>
      <formula>$H$8</formula>
    </cfRule>
    <cfRule type="containsText" dxfId="4861" priority="6302" operator="containsText" text="$H$8">
      <formula>NOT(ISERROR(SEARCH($H$8,C426)))</formula>
      <formula>$H$8</formula>
    </cfRule>
    <cfRule type="containsText" dxfId="4860" priority="6301" operator="containsText" text="$H$9">
      <formula>NOT(ISERROR(SEARCH($H$9,C426)))</formula>
      <formula>$H$9</formula>
    </cfRule>
    <cfRule type="containsText" dxfId="4859" priority="6300" operator="containsText" text="$H$10">
      <formula>NOT(ISERROR(SEARCH($H$10,C426)))</formula>
      <formula>$H$10</formula>
    </cfRule>
    <cfRule type="containsText" dxfId="4858" priority="6299" operator="containsText" text="$H$11">
      <formula>NOT(ISERROR(SEARCH($H$11,C426)))</formula>
      <formula>$H$11</formula>
    </cfRule>
    <cfRule type="containsText" dxfId="4857" priority="6298" operator="containsText" text="$H$12">
      <formula>NOT(ISERROR(SEARCH($H$12,C426)))</formula>
      <formula>$H$12</formula>
    </cfRule>
    <cfRule type="containsText" dxfId="4856" priority="6297" operator="containsText" text="$H$13">
      <formula>NOT(ISERROR(SEARCH($H$13,C426)))</formula>
      <formula>$H$13</formula>
    </cfRule>
  </conditionalFormatting>
  <conditionalFormatting sqref="C428">
    <cfRule type="containsText" dxfId="4855" priority="6296" operator="containsText" text="$H$7">
      <formula>NOT(ISERROR(SEARCH($H$7,C428)))</formula>
      <formula>$H$7</formula>
    </cfRule>
    <cfRule type="containsText" dxfId="4854" priority="6295" operator="containsText" text="$H$8">
      <formula>NOT(ISERROR(SEARCH($H$8,C428)))</formula>
      <formula>$H$8</formula>
    </cfRule>
    <cfRule type="containsText" dxfId="4853" priority="6294" operator="containsText" text="$H$8">
      <formula>NOT(ISERROR(SEARCH($H$8,C428)))</formula>
      <formula>$H$8</formula>
    </cfRule>
    <cfRule type="containsText" dxfId="4852" priority="6293" operator="containsText" text="$H$9">
      <formula>NOT(ISERROR(SEARCH($H$9,C428)))</formula>
      <formula>$H$9</formula>
    </cfRule>
    <cfRule type="containsText" dxfId="4851" priority="6292" operator="containsText" text="$H$10">
      <formula>NOT(ISERROR(SEARCH($H$10,C428)))</formula>
      <formula>$H$10</formula>
    </cfRule>
    <cfRule type="containsText" dxfId="4850" priority="6291" operator="containsText" text="$H$11">
      <formula>NOT(ISERROR(SEARCH($H$11,C428)))</formula>
      <formula>$H$11</formula>
    </cfRule>
    <cfRule type="containsText" dxfId="4849" priority="6290" operator="containsText" text="$H$12">
      <formula>NOT(ISERROR(SEARCH($H$12,C428)))</formula>
      <formula>$H$12</formula>
    </cfRule>
    <cfRule type="containsText" dxfId="4848" priority="6289" operator="containsText" text="$H$13">
      <formula>NOT(ISERROR(SEARCH($H$13,C428)))</formula>
      <formula>$H$13</formula>
    </cfRule>
  </conditionalFormatting>
  <conditionalFormatting sqref="C430">
    <cfRule type="containsText" dxfId="4847" priority="6288" operator="containsText" text="$H$7">
      <formula>NOT(ISERROR(SEARCH($H$7,C430)))</formula>
      <formula>$H$7</formula>
    </cfRule>
    <cfRule type="containsText" dxfId="4846" priority="6287" operator="containsText" text="$H$8">
      <formula>NOT(ISERROR(SEARCH($H$8,C430)))</formula>
      <formula>$H$8</formula>
    </cfRule>
    <cfRule type="containsText" dxfId="4845" priority="6286" operator="containsText" text="$H$8">
      <formula>NOT(ISERROR(SEARCH($H$8,C430)))</formula>
      <formula>$H$8</formula>
    </cfRule>
    <cfRule type="containsText" dxfId="4844" priority="6285" operator="containsText" text="$H$9">
      <formula>NOT(ISERROR(SEARCH($H$9,C430)))</formula>
      <formula>$H$9</formula>
    </cfRule>
    <cfRule type="containsText" dxfId="4843" priority="6284" operator="containsText" text="$H$10">
      <formula>NOT(ISERROR(SEARCH($H$10,C430)))</formula>
      <formula>$H$10</formula>
    </cfRule>
    <cfRule type="containsText" dxfId="4842" priority="6283" operator="containsText" text="$H$11">
      <formula>NOT(ISERROR(SEARCH($H$11,C430)))</formula>
      <formula>$H$11</formula>
    </cfRule>
    <cfRule type="containsText" dxfId="4841" priority="6282" operator="containsText" text="$H$12">
      <formula>NOT(ISERROR(SEARCH($H$12,C430)))</formula>
      <formula>$H$12</formula>
    </cfRule>
    <cfRule type="containsText" dxfId="4840" priority="6281" operator="containsText" text="$H$13">
      <formula>NOT(ISERROR(SEARCH($H$13,C430)))</formula>
      <formula>$H$13</formula>
    </cfRule>
  </conditionalFormatting>
  <conditionalFormatting sqref="C432">
    <cfRule type="containsText" dxfId="4839" priority="6280" operator="containsText" text="$H$7">
      <formula>NOT(ISERROR(SEARCH($H$7,C432)))</formula>
      <formula>$H$7</formula>
    </cfRule>
    <cfRule type="containsText" dxfId="4838" priority="6279" operator="containsText" text="$H$8">
      <formula>NOT(ISERROR(SEARCH($H$8,C432)))</formula>
      <formula>$H$8</formula>
    </cfRule>
    <cfRule type="containsText" dxfId="4837" priority="6278" operator="containsText" text="$H$8">
      <formula>NOT(ISERROR(SEARCH($H$8,C432)))</formula>
      <formula>$H$8</formula>
    </cfRule>
    <cfRule type="containsText" dxfId="4836" priority="6277" operator="containsText" text="$H$9">
      <formula>NOT(ISERROR(SEARCH($H$9,C432)))</formula>
      <formula>$H$9</formula>
    </cfRule>
    <cfRule type="containsText" dxfId="4835" priority="6276" operator="containsText" text="$H$10">
      <formula>NOT(ISERROR(SEARCH($H$10,C432)))</formula>
      <formula>$H$10</formula>
    </cfRule>
    <cfRule type="containsText" dxfId="4834" priority="6275" operator="containsText" text="$H$11">
      <formula>NOT(ISERROR(SEARCH($H$11,C432)))</formula>
      <formula>$H$11</formula>
    </cfRule>
    <cfRule type="containsText" dxfId="4833" priority="6274" operator="containsText" text="$H$12">
      <formula>NOT(ISERROR(SEARCH($H$12,C432)))</formula>
      <formula>$H$12</formula>
    </cfRule>
    <cfRule type="containsText" dxfId="4832" priority="6273" operator="containsText" text="$H$13">
      <formula>NOT(ISERROR(SEARCH($H$13,C432)))</formula>
      <formula>$H$13</formula>
    </cfRule>
  </conditionalFormatting>
  <conditionalFormatting sqref="C434">
    <cfRule type="containsText" dxfId="4831" priority="6272" operator="containsText" text="$H$7">
      <formula>NOT(ISERROR(SEARCH($H$7,C434)))</formula>
      <formula>$H$7</formula>
    </cfRule>
    <cfRule type="containsText" dxfId="4830" priority="6271" operator="containsText" text="$H$8">
      <formula>NOT(ISERROR(SEARCH($H$8,C434)))</formula>
      <formula>$H$8</formula>
    </cfRule>
    <cfRule type="containsText" dxfId="4829" priority="6270" operator="containsText" text="$H$8">
      <formula>NOT(ISERROR(SEARCH($H$8,C434)))</formula>
      <formula>$H$8</formula>
    </cfRule>
    <cfRule type="containsText" dxfId="4828" priority="6269" operator="containsText" text="$H$9">
      <formula>NOT(ISERROR(SEARCH($H$9,C434)))</formula>
      <formula>$H$9</formula>
    </cfRule>
    <cfRule type="containsText" dxfId="4827" priority="6268" operator="containsText" text="$H$10">
      <formula>NOT(ISERROR(SEARCH($H$10,C434)))</formula>
      <formula>$H$10</formula>
    </cfRule>
    <cfRule type="containsText" dxfId="4826" priority="6267" operator="containsText" text="$H$11">
      <formula>NOT(ISERROR(SEARCH($H$11,C434)))</formula>
      <formula>$H$11</formula>
    </cfRule>
    <cfRule type="containsText" dxfId="4825" priority="6266" operator="containsText" text="$H$12">
      <formula>NOT(ISERROR(SEARCH($H$12,C434)))</formula>
      <formula>$H$12</formula>
    </cfRule>
    <cfRule type="containsText" dxfId="4824" priority="6265" operator="containsText" text="$H$13">
      <formula>NOT(ISERROR(SEARCH($H$13,C434)))</formula>
      <formula>$H$13</formula>
    </cfRule>
  </conditionalFormatting>
  <conditionalFormatting sqref="D420:D421">
    <cfRule type="containsText" dxfId="4823" priority="6264" operator="containsText" text="$H$7">
      <formula>NOT(ISERROR(SEARCH($H$7,D420)))</formula>
      <formula>$H$7</formula>
    </cfRule>
    <cfRule type="containsText" dxfId="4822" priority="6263" operator="containsText" text="$H$8">
      <formula>NOT(ISERROR(SEARCH($H$8,D420)))</formula>
      <formula>$H$8</formula>
    </cfRule>
    <cfRule type="containsText" dxfId="4821" priority="6262" operator="containsText" text="$H$8">
      <formula>NOT(ISERROR(SEARCH($H$8,D420)))</formula>
      <formula>$H$8</formula>
    </cfRule>
    <cfRule type="containsText" dxfId="4820" priority="6261" operator="containsText" text="$H$9">
      <formula>NOT(ISERROR(SEARCH($H$9,D420)))</formula>
      <formula>$H$9</formula>
    </cfRule>
    <cfRule type="containsText" dxfId="4819" priority="6260" operator="containsText" text="$H$10">
      <formula>NOT(ISERROR(SEARCH($H$10,D420)))</formula>
      <formula>$H$10</formula>
    </cfRule>
    <cfRule type="containsText" dxfId="4818" priority="6259" operator="containsText" text="$H$11">
      <formula>NOT(ISERROR(SEARCH($H$11,D420)))</formula>
      <formula>$H$11</formula>
    </cfRule>
    <cfRule type="containsText" dxfId="4817" priority="6258" operator="containsText" text="$H$12">
      <formula>NOT(ISERROR(SEARCH($H$12,D420)))</formula>
      <formula>$H$12</formula>
    </cfRule>
    <cfRule type="containsText" dxfId="4816" priority="6257" operator="containsText" text="$H$13">
      <formula>NOT(ISERROR(SEARCH($H$13,D420)))</formula>
      <formula>$H$13</formula>
    </cfRule>
  </conditionalFormatting>
  <conditionalFormatting sqref="D422">
    <cfRule type="containsText" dxfId="4815" priority="6256" operator="containsText" text="$H$7">
      <formula>NOT(ISERROR(SEARCH($H$7,D422)))</formula>
      <formula>$H$7</formula>
    </cfRule>
    <cfRule type="containsText" dxfId="4814" priority="6255" operator="containsText" text="$H$8">
      <formula>NOT(ISERROR(SEARCH($H$8,D422)))</formula>
      <formula>$H$8</formula>
    </cfRule>
    <cfRule type="containsText" dxfId="4813" priority="6254" operator="containsText" text="$H$8">
      <formula>NOT(ISERROR(SEARCH($H$8,D422)))</formula>
      <formula>$H$8</formula>
    </cfRule>
    <cfRule type="containsText" dxfId="4812" priority="6253" operator="containsText" text="$H$9">
      <formula>NOT(ISERROR(SEARCH($H$9,D422)))</formula>
      <formula>$H$9</formula>
    </cfRule>
    <cfRule type="containsText" dxfId="4811" priority="6252" operator="containsText" text="$H$10">
      <formula>NOT(ISERROR(SEARCH($H$10,D422)))</formula>
      <formula>$H$10</formula>
    </cfRule>
    <cfRule type="containsText" dxfId="4810" priority="6251" operator="containsText" text="$H$11">
      <formula>NOT(ISERROR(SEARCH($H$11,D422)))</formula>
      <formula>$H$11</formula>
    </cfRule>
    <cfRule type="containsText" dxfId="4809" priority="6250" operator="containsText" text="$H$12">
      <formula>NOT(ISERROR(SEARCH($H$12,D422)))</formula>
      <formula>$H$12</formula>
    </cfRule>
    <cfRule type="containsText" dxfId="4808" priority="6249" operator="containsText" text="$H$13">
      <formula>NOT(ISERROR(SEARCH($H$13,D422)))</formula>
      <formula>$H$13</formula>
    </cfRule>
  </conditionalFormatting>
  <conditionalFormatting sqref="D424">
    <cfRule type="containsText" dxfId="4807" priority="6248" operator="containsText" text="$H$7">
      <formula>NOT(ISERROR(SEARCH($H$7,D424)))</formula>
      <formula>$H$7</formula>
    </cfRule>
    <cfRule type="containsText" dxfId="4806" priority="6247" operator="containsText" text="$H$8">
      <formula>NOT(ISERROR(SEARCH($H$8,D424)))</formula>
      <formula>$H$8</formula>
    </cfRule>
    <cfRule type="containsText" dxfId="4805" priority="6246" operator="containsText" text="$H$8">
      <formula>NOT(ISERROR(SEARCH($H$8,D424)))</formula>
      <formula>$H$8</formula>
    </cfRule>
    <cfRule type="containsText" dxfId="4804" priority="6245" operator="containsText" text="$H$9">
      <formula>NOT(ISERROR(SEARCH($H$9,D424)))</formula>
      <formula>$H$9</formula>
    </cfRule>
    <cfRule type="containsText" dxfId="4803" priority="6244" operator="containsText" text="$H$10">
      <formula>NOT(ISERROR(SEARCH($H$10,D424)))</formula>
      <formula>$H$10</formula>
    </cfRule>
    <cfRule type="containsText" dxfId="4802" priority="6243" operator="containsText" text="$H$11">
      <formula>NOT(ISERROR(SEARCH($H$11,D424)))</formula>
      <formula>$H$11</formula>
    </cfRule>
    <cfRule type="containsText" dxfId="4801" priority="6242" operator="containsText" text="$H$12">
      <formula>NOT(ISERROR(SEARCH($H$12,D424)))</formula>
      <formula>$H$12</formula>
    </cfRule>
    <cfRule type="containsText" dxfId="4800" priority="6241" operator="containsText" text="$H$13">
      <formula>NOT(ISERROR(SEARCH($H$13,D424)))</formula>
      <formula>$H$13</formula>
    </cfRule>
  </conditionalFormatting>
  <conditionalFormatting sqref="D426">
    <cfRule type="containsText" dxfId="4799" priority="6240" operator="containsText" text="$H$7">
      <formula>NOT(ISERROR(SEARCH($H$7,D426)))</formula>
      <formula>$H$7</formula>
    </cfRule>
    <cfRule type="containsText" dxfId="4798" priority="6239" operator="containsText" text="$H$8">
      <formula>NOT(ISERROR(SEARCH($H$8,D426)))</formula>
      <formula>$H$8</formula>
    </cfRule>
    <cfRule type="containsText" dxfId="4797" priority="6238" operator="containsText" text="$H$8">
      <formula>NOT(ISERROR(SEARCH($H$8,D426)))</formula>
      <formula>$H$8</formula>
    </cfRule>
    <cfRule type="containsText" dxfId="4796" priority="6237" operator="containsText" text="$H$9">
      <formula>NOT(ISERROR(SEARCH($H$9,D426)))</formula>
      <formula>$H$9</formula>
    </cfRule>
    <cfRule type="containsText" dxfId="4795" priority="6236" operator="containsText" text="$H$10">
      <formula>NOT(ISERROR(SEARCH($H$10,D426)))</formula>
      <formula>$H$10</formula>
    </cfRule>
    <cfRule type="containsText" dxfId="4794" priority="6235" operator="containsText" text="$H$11">
      <formula>NOT(ISERROR(SEARCH($H$11,D426)))</formula>
      <formula>$H$11</formula>
    </cfRule>
    <cfRule type="containsText" dxfId="4793" priority="6234" operator="containsText" text="$H$12">
      <formula>NOT(ISERROR(SEARCH($H$12,D426)))</formula>
      <formula>$H$12</formula>
    </cfRule>
    <cfRule type="containsText" dxfId="4792" priority="6233" operator="containsText" text="$H$13">
      <formula>NOT(ISERROR(SEARCH($H$13,D426)))</formula>
      <formula>$H$13</formula>
    </cfRule>
  </conditionalFormatting>
  <conditionalFormatting sqref="D428">
    <cfRule type="containsText" dxfId="4791" priority="6232" operator="containsText" text="$H$7">
      <formula>NOT(ISERROR(SEARCH($H$7,D428)))</formula>
      <formula>$H$7</formula>
    </cfRule>
    <cfRule type="containsText" dxfId="4790" priority="6231" operator="containsText" text="$H$8">
      <formula>NOT(ISERROR(SEARCH($H$8,D428)))</formula>
      <formula>$H$8</formula>
    </cfRule>
    <cfRule type="containsText" dxfId="4789" priority="6230" operator="containsText" text="$H$8">
      <formula>NOT(ISERROR(SEARCH($H$8,D428)))</formula>
      <formula>$H$8</formula>
    </cfRule>
    <cfRule type="containsText" dxfId="4788" priority="6229" operator="containsText" text="$H$9">
      <formula>NOT(ISERROR(SEARCH($H$9,D428)))</formula>
      <formula>$H$9</formula>
    </cfRule>
    <cfRule type="containsText" dxfId="4787" priority="6228" operator="containsText" text="$H$10">
      <formula>NOT(ISERROR(SEARCH($H$10,D428)))</formula>
      <formula>$H$10</formula>
    </cfRule>
    <cfRule type="containsText" dxfId="4786" priority="6227" operator="containsText" text="$H$11">
      <formula>NOT(ISERROR(SEARCH($H$11,D428)))</formula>
      <formula>$H$11</formula>
    </cfRule>
    <cfRule type="containsText" dxfId="4785" priority="6226" operator="containsText" text="$H$12">
      <formula>NOT(ISERROR(SEARCH($H$12,D428)))</formula>
      <formula>$H$12</formula>
    </cfRule>
    <cfRule type="containsText" dxfId="4784" priority="6225" operator="containsText" text="$H$13">
      <formula>NOT(ISERROR(SEARCH($H$13,D428)))</formula>
      <formula>$H$13</formula>
    </cfRule>
  </conditionalFormatting>
  <conditionalFormatting sqref="D430">
    <cfRule type="containsText" dxfId="4783" priority="6224" operator="containsText" text="$H$7">
      <formula>NOT(ISERROR(SEARCH($H$7,D430)))</formula>
      <formula>$H$7</formula>
    </cfRule>
    <cfRule type="containsText" dxfId="4782" priority="6223" operator="containsText" text="$H$8">
      <formula>NOT(ISERROR(SEARCH($H$8,D430)))</formula>
      <formula>$H$8</formula>
    </cfRule>
    <cfRule type="containsText" dxfId="4781" priority="6222" operator="containsText" text="$H$8">
      <formula>NOT(ISERROR(SEARCH($H$8,D430)))</formula>
      <formula>$H$8</formula>
    </cfRule>
    <cfRule type="containsText" dxfId="4780" priority="6221" operator="containsText" text="$H$9">
      <formula>NOT(ISERROR(SEARCH($H$9,D430)))</formula>
      <formula>$H$9</formula>
    </cfRule>
    <cfRule type="containsText" dxfId="4779" priority="6220" operator="containsText" text="$H$10">
      <formula>NOT(ISERROR(SEARCH($H$10,D430)))</formula>
      <formula>$H$10</formula>
    </cfRule>
    <cfRule type="containsText" dxfId="4778" priority="6219" operator="containsText" text="$H$11">
      <formula>NOT(ISERROR(SEARCH($H$11,D430)))</formula>
      <formula>$H$11</formula>
    </cfRule>
    <cfRule type="containsText" dxfId="4777" priority="6218" operator="containsText" text="$H$12">
      <formula>NOT(ISERROR(SEARCH($H$12,D430)))</formula>
      <formula>$H$12</formula>
    </cfRule>
    <cfRule type="containsText" dxfId="4776" priority="6217" operator="containsText" text="$H$13">
      <formula>NOT(ISERROR(SEARCH($H$13,D430)))</formula>
      <formula>$H$13</formula>
    </cfRule>
  </conditionalFormatting>
  <conditionalFormatting sqref="D432">
    <cfRule type="containsText" dxfId="4775" priority="6216" operator="containsText" text="$H$7">
      <formula>NOT(ISERROR(SEARCH($H$7,D432)))</formula>
      <formula>$H$7</formula>
    </cfRule>
    <cfRule type="containsText" dxfId="4774" priority="6215" operator="containsText" text="$H$8">
      <formula>NOT(ISERROR(SEARCH($H$8,D432)))</formula>
      <formula>$H$8</formula>
    </cfRule>
    <cfRule type="containsText" dxfId="4773" priority="6214" operator="containsText" text="$H$8">
      <formula>NOT(ISERROR(SEARCH($H$8,D432)))</formula>
      <formula>$H$8</formula>
    </cfRule>
    <cfRule type="containsText" dxfId="4772" priority="6213" operator="containsText" text="$H$9">
      <formula>NOT(ISERROR(SEARCH($H$9,D432)))</formula>
      <formula>$H$9</formula>
    </cfRule>
    <cfRule type="containsText" dxfId="4771" priority="6212" operator="containsText" text="$H$10">
      <formula>NOT(ISERROR(SEARCH($H$10,D432)))</formula>
      <formula>$H$10</formula>
    </cfRule>
    <cfRule type="containsText" dxfId="4770" priority="6211" operator="containsText" text="$H$11">
      <formula>NOT(ISERROR(SEARCH($H$11,D432)))</formula>
      <formula>$H$11</formula>
    </cfRule>
    <cfRule type="containsText" dxfId="4769" priority="6210" operator="containsText" text="$H$12">
      <formula>NOT(ISERROR(SEARCH($H$12,D432)))</formula>
      <formula>$H$12</formula>
    </cfRule>
    <cfRule type="containsText" dxfId="4768" priority="6209" operator="containsText" text="$H$13">
      <formula>NOT(ISERROR(SEARCH($H$13,D432)))</formula>
      <formula>$H$13</formula>
    </cfRule>
  </conditionalFormatting>
  <conditionalFormatting sqref="D434">
    <cfRule type="containsText" dxfId="4767" priority="6208" operator="containsText" text="$H$7">
      <formula>NOT(ISERROR(SEARCH($H$7,D434)))</formula>
      <formula>$H$7</formula>
    </cfRule>
    <cfRule type="containsText" dxfId="4766" priority="6207" operator="containsText" text="$H$8">
      <formula>NOT(ISERROR(SEARCH($H$8,D434)))</formula>
      <formula>$H$8</formula>
    </cfRule>
    <cfRule type="containsText" dxfId="4765" priority="6206" operator="containsText" text="$H$8">
      <formula>NOT(ISERROR(SEARCH($H$8,D434)))</formula>
      <formula>$H$8</formula>
    </cfRule>
    <cfRule type="containsText" dxfId="4764" priority="6205" operator="containsText" text="$H$9">
      <formula>NOT(ISERROR(SEARCH($H$9,D434)))</formula>
      <formula>$H$9</formula>
    </cfRule>
    <cfRule type="containsText" dxfId="4763" priority="6204" operator="containsText" text="$H$10">
      <formula>NOT(ISERROR(SEARCH($H$10,D434)))</formula>
      <formula>$H$10</formula>
    </cfRule>
    <cfRule type="containsText" dxfId="4762" priority="6203" operator="containsText" text="$H$11">
      <formula>NOT(ISERROR(SEARCH($H$11,D434)))</formula>
      <formula>$H$11</formula>
    </cfRule>
    <cfRule type="containsText" dxfId="4761" priority="6202" operator="containsText" text="$H$12">
      <formula>NOT(ISERROR(SEARCH($H$12,D434)))</formula>
      <formula>$H$12</formula>
    </cfRule>
    <cfRule type="containsText" dxfId="4760" priority="6201" operator="containsText" text="$H$13">
      <formula>NOT(ISERROR(SEARCH($H$13,D434)))</formula>
      <formula>$H$13</formula>
    </cfRule>
  </conditionalFormatting>
  <conditionalFormatting sqref="E420">
    <cfRule type="containsText" dxfId="4759" priority="6200" operator="containsText" text="$H$7">
      <formula>NOT(ISERROR(SEARCH($H$7,E420)))</formula>
      <formula>$H$7</formula>
    </cfRule>
    <cfRule type="containsText" dxfId="4758" priority="6199" operator="containsText" text="$H$8">
      <formula>NOT(ISERROR(SEARCH($H$8,E420)))</formula>
      <formula>$H$8</formula>
    </cfRule>
    <cfRule type="containsText" dxfId="4757" priority="6198" operator="containsText" text="$H$8">
      <formula>NOT(ISERROR(SEARCH($H$8,E420)))</formula>
      <formula>$H$8</formula>
    </cfRule>
    <cfRule type="containsText" dxfId="4756" priority="6197" operator="containsText" text="$H$9">
      <formula>NOT(ISERROR(SEARCH($H$9,E420)))</formula>
      <formula>$H$9</formula>
    </cfRule>
    <cfRule type="containsText" dxfId="4755" priority="6196" operator="containsText" text="$H$10">
      <formula>NOT(ISERROR(SEARCH($H$10,E420)))</formula>
      <formula>$H$10</formula>
    </cfRule>
    <cfRule type="containsText" dxfId="4754" priority="6195" operator="containsText" text="$H$11">
      <formula>NOT(ISERROR(SEARCH($H$11,E420)))</formula>
      <formula>$H$11</formula>
    </cfRule>
    <cfRule type="containsText" dxfId="4753" priority="6194" operator="containsText" text="$H$12">
      <formula>NOT(ISERROR(SEARCH($H$12,E420)))</formula>
      <formula>$H$12</formula>
    </cfRule>
    <cfRule type="containsText" dxfId="4752" priority="6193" operator="containsText" text="$H$13">
      <formula>NOT(ISERROR(SEARCH($H$13,E420)))</formula>
      <formula>$H$13</formula>
    </cfRule>
  </conditionalFormatting>
  <conditionalFormatting sqref="E422">
    <cfRule type="containsText" dxfId="4751" priority="6192" operator="containsText" text="$H$7">
      <formula>NOT(ISERROR(SEARCH($H$7,E422)))</formula>
      <formula>$H$7</formula>
    </cfRule>
    <cfRule type="containsText" dxfId="4750" priority="6191" operator="containsText" text="$H$8">
      <formula>NOT(ISERROR(SEARCH($H$8,E422)))</formula>
      <formula>$H$8</formula>
    </cfRule>
    <cfRule type="containsText" dxfId="4749" priority="6190" operator="containsText" text="$H$8">
      <formula>NOT(ISERROR(SEARCH($H$8,E422)))</formula>
      <formula>$H$8</formula>
    </cfRule>
    <cfRule type="containsText" dxfId="4748" priority="6189" operator="containsText" text="$H$9">
      <formula>NOT(ISERROR(SEARCH($H$9,E422)))</formula>
      <formula>$H$9</formula>
    </cfRule>
    <cfRule type="containsText" dxfId="4747" priority="6188" operator="containsText" text="$H$10">
      <formula>NOT(ISERROR(SEARCH($H$10,E422)))</formula>
      <formula>$H$10</formula>
    </cfRule>
    <cfRule type="containsText" dxfId="4746" priority="6187" operator="containsText" text="$H$11">
      <formula>NOT(ISERROR(SEARCH($H$11,E422)))</formula>
      <formula>$H$11</formula>
    </cfRule>
    <cfRule type="containsText" dxfId="4745" priority="6186" operator="containsText" text="$H$12">
      <formula>NOT(ISERROR(SEARCH($H$12,E422)))</formula>
      <formula>$H$12</formula>
    </cfRule>
    <cfRule type="containsText" dxfId="4744" priority="6185" operator="containsText" text="$H$13">
      <formula>NOT(ISERROR(SEARCH($H$13,E422)))</formula>
      <formula>$H$13</formula>
    </cfRule>
  </conditionalFormatting>
  <conditionalFormatting sqref="E424">
    <cfRule type="containsText" dxfId="4743" priority="6184" operator="containsText" text="$H$7">
      <formula>NOT(ISERROR(SEARCH($H$7,E424)))</formula>
      <formula>$H$7</formula>
    </cfRule>
    <cfRule type="containsText" dxfId="4742" priority="6183" operator="containsText" text="$H$8">
      <formula>NOT(ISERROR(SEARCH($H$8,E424)))</formula>
      <formula>$H$8</formula>
    </cfRule>
    <cfRule type="containsText" dxfId="4741" priority="6182" operator="containsText" text="$H$8">
      <formula>NOT(ISERROR(SEARCH($H$8,E424)))</formula>
      <formula>$H$8</formula>
    </cfRule>
    <cfRule type="containsText" dxfId="4740" priority="6181" operator="containsText" text="$H$9">
      <formula>NOT(ISERROR(SEARCH($H$9,E424)))</formula>
      <formula>$H$9</formula>
    </cfRule>
    <cfRule type="containsText" dxfId="4739" priority="6180" operator="containsText" text="$H$10">
      <formula>NOT(ISERROR(SEARCH($H$10,E424)))</formula>
      <formula>$H$10</formula>
    </cfRule>
    <cfRule type="containsText" dxfId="4738" priority="6179" operator="containsText" text="$H$11">
      <formula>NOT(ISERROR(SEARCH($H$11,E424)))</formula>
      <formula>$H$11</formula>
    </cfRule>
    <cfRule type="containsText" dxfId="4737" priority="6178" operator="containsText" text="$H$12">
      <formula>NOT(ISERROR(SEARCH($H$12,E424)))</formula>
      <formula>$H$12</formula>
    </cfRule>
    <cfRule type="containsText" dxfId="4736" priority="6177" operator="containsText" text="$H$13">
      <formula>NOT(ISERROR(SEARCH($H$13,E424)))</formula>
      <formula>$H$13</formula>
    </cfRule>
  </conditionalFormatting>
  <conditionalFormatting sqref="E426">
    <cfRule type="containsText" dxfId="4735" priority="6176" operator="containsText" text="$H$7">
      <formula>NOT(ISERROR(SEARCH($H$7,E426)))</formula>
      <formula>$H$7</formula>
    </cfRule>
    <cfRule type="containsText" dxfId="4734" priority="6175" operator="containsText" text="$H$8">
      <formula>NOT(ISERROR(SEARCH($H$8,E426)))</formula>
      <formula>$H$8</formula>
    </cfRule>
    <cfRule type="containsText" dxfId="4733" priority="6174" operator="containsText" text="$H$8">
      <formula>NOT(ISERROR(SEARCH($H$8,E426)))</formula>
      <formula>$H$8</formula>
    </cfRule>
    <cfRule type="containsText" dxfId="4732" priority="6173" operator="containsText" text="$H$9">
      <formula>NOT(ISERROR(SEARCH($H$9,E426)))</formula>
      <formula>$H$9</formula>
    </cfRule>
    <cfRule type="containsText" dxfId="4731" priority="6172" operator="containsText" text="$H$10">
      <formula>NOT(ISERROR(SEARCH($H$10,E426)))</formula>
      <formula>$H$10</formula>
    </cfRule>
    <cfRule type="containsText" dxfId="4730" priority="6171" operator="containsText" text="$H$11">
      <formula>NOT(ISERROR(SEARCH($H$11,E426)))</formula>
      <formula>$H$11</formula>
    </cfRule>
    <cfRule type="containsText" dxfId="4729" priority="6170" operator="containsText" text="$H$12">
      <formula>NOT(ISERROR(SEARCH($H$12,E426)))</formula>
      <formula>$H$12</formula>
    </cfRule>
    <cfRule type="containsText" dxfId="4728" priority="6169" operator="containsText" text="$H$13">
      <formula>NOT(ISERROR(SEARCH($H$13,E426)))</formula>
      <formula>$H$13</formula>
    </cfRule>
  </conditionalFormatting>
  <conditionalFormatting sqref="E428">
    <cfRule type="containsText" dxfId="4727" priority="6168" operator="containsText" text="$H$7">
      <formula>NOT(ISERROR(SEARCH($H$7,E428)))</formula>
      <formula>$H$7</formula>
    </cfRule>
    <cfRule type="containsText" dxfId="4726" priority="6167" operator="containsText" text="$H$8">
      <formula>NOT(ISERROR(SEARCH($H$8,E428)))</formula>
      <formula>$H$8</formula>
    </cfRule>
    <cfRule type="containsText" dxfId="4725" priority="6166" operator="containsText" text="$H$8">
      <formula>NOT(ISERROR(SEARCH($H$8,E428)))</formula>
      <formula>$H$8</formula>
    </cfRule>
    <cfRule type="containsText" dxfId="4724" priority="6165" operator="containsText" text="$H$9">
      <formula>NOT(ISERROR(SEARCH($H$9,E428)))</formula>
      <formula>$H$9</formula>
    </cfRule>
    <cfRule type="containsText" dxfId="4723" priority="6164" operator="containsText" text="$H$10">
      <formula>NOT(ISERROR(SEARCH($H$10,E428)))</formula>
      <formula>$H$10</formula>
    </cfRule>
    <cfRule type="containsText" dxfId="4722" priority="6163" operator="containsText" text="$H$11">
      <formula>NOT(ISERROR(SEARCH($H$11,E428)))</formula>
      <formula>$H$11</formula>
    </cfRule>
    <cfRule type="containsText" dxfId="4721" priority="6162" operator="containsText" text="$H$12">
      <formula>NOT(ISERROR(SEARCH($H$12,E428)))</formula>
      <formula>$H$12</formula>
    </cfRule>
    <cfRule type="containsText" dxfId="4720" priority="6161" operator="containsText" text="$H$13">
      <formula>NOT(ISERROR(SEARCH($H$13,E428)))</formula>
      <formula>$H$13</formula>
    </cfRule>
  </conditionalFormatting>
  <conditionalFormatting sqref="E430">
    <cfRule type="containsText" dxfId="4719" priority="6160" operator="containsText" text="$H$7">
      <formula>NOT(ISERROR(SEARCH($H$7,E430)))</formula>
      <formula>$H$7</formula>
    </cfRule>
    <cfRule type="containsText" dxfId="4718" priority="6159" operator="containsText" text="$H$8">
      <formula>NOT(ISERROR(SEARCH($H$8,E430)))</formula>
      <formula>$H$8</formula>
    </cfRule>
    <cfRule type="containsText" dxfId="4717" priority="6158" operator="containsText" text="$H$8">
      <formula>NOT(ISERROR(SEARCH($H$8,E430)))</formula>
      <formula>$H$8</formula>
    </cfRule>
    <cfRule type="containsText" dxfId="4716" priority="6157" operator="containsText" text="$H$9">
      <formula>NOT(ISERROR(SEARCH($H$9,E430)))</formula>
      <formula>$H$9</formula>
    </cfRule>
    <cfRule type="containsText" dxfId="4715" priority="6156" operator="containsText" text="$H$10">
      <formula>NOT(ISERROR(SEARCH($H$10,E430)))</formula>
      <formula>$H$10</formula>
    </cfRule>
    <cfRule type="containsText" dxfId="4714" priority="6155" operator="containsText" text="$H$11">
      <formula>NOT(ISERROR(SEARCH($H$11,E430)))</formula>
      <formula>$H$11</formula>
    </cfRule>
    <cfRule type="containsText" dxfId="4713" priority="6154" operator="containsText" text="$H$12">
      <formula>NOT(ISERROR(SEARCH($H$12,E430)))</formula>
      <formula>$H$12</formula>
    </cfRule>
    <cfRule type="containsText" dxfId="4712" priority="6153" operator="containsText" text="$H$13">
      <formula>NOT(ISERROR(SEARCH($H$13,E430)))</formula>
      <formula>$H$13</formula>
    </cfRule>
  </conditionalFormatting>
  <conditionalFormatting sqref="E432">
    <cfRule type="containsText" dxfId="4711" priority="6152" operator="containsText" text="$H$7">
      <formula>NOT(ISERROR(SEARCH($H$7,E432)))</formula>
      <formula>$H$7</formula>
    </cfRule>
    <cfRule type="containsText" dxfId="4710" priority="6151" operator="containsText" text="$H$8">
      <formula>NOT(ISERROR(SEARCH($H$8,E432)))</formula>
      <formula>$H$8</formula>
    </cfRule>
    <cfRule type="containsText" dxfId="4709" priority="6150" operator="containsText" text="$H$8">
      <formula>NOT(ISERROR(SEARCH($H$8,E432)))</formula>
      <formula>$H$8</formula>
    </cfRule>
    <cfRule type="containsText" dxfId="4708" priority="6149" operator="containsText" text="$H$9">
      <formula>NOT(ISERROR(SEARCH($H$9,E432)))</formula>
      <formula>$H$9</formula>
    </cfRule>
    <cfRule type="containsText" dxfId="4707" priority="6148" operator="containsText" text="$H$10">
      <formula>NOT(ISERROR(SEARCH($H$10,E432)))</formula>
      <formula>$H$10</formula>
    </cfRule>
    <cfRule type="containsText" dxfId="4706" priority="6147" operator="containsText" text="$H$11">
      <formula>NOT(ISERROR(SEARCH($H$11,E432)))</formula>
      <formula>$H$11</formula>
    </cfRule>
    <cfRule type="containsText" dxfId="4705" priority="6146" operator="containsText" text="$H$12">
      <formula>NOT(ISERROR(SEARCH($H$12,E432)))</formula>
      <formula>$H$12</formula>
    </cfRule>
    <cfRule type="containsText" dxfId="4704" priority="6145" operator="containsText" text="$H$13">
      <formula>NOT(ISERROR(SEARCH($H$13,E432)))</formula>
      <formula>$H$13</formula>
    </cfRule>
  </conditionalFormatting>
  <conditionalFormatting sqref="E434">
    <cfRule type="containsText" dxfId="4703" priority="6144" operator="containsText" text="$H$7">
      <formula>NOT(ISERROR(SEARCH($H$7,E434)))</formula>
      <formula>$H$7</formula>
    </cfRule>
    <cfRule type="containsText" dxfId="4702" priority="6143" operator="containsText" text="$H$8">
      <formula>NOT(ISERROR(SEARCH($H$8,E434)))</formula>
      <formula>$H$8</formula>
    </cfRule>
    <cfRule type="containsText" dxfId="4701" priority="6142" operator="containsText" text="$H$8">
      <formula>NOT(ISERROR(SEARCH($H$8,E434)))</formula>
      <formula>$H$8</formula>
    </cfRule>
    <cfRule type="containsText" dxfId="4700" priority="6141" operator="containsText" text="$H$9">
      <formula>NOT(ISERROR(SEARCH($H$9,E434)))</formula>
      <formula>$H$9</formula>
    </cfRule>
    <cfRule type="containsText" dxfId="4699" priority="6140" operator="containsText" text="$H$10">
      <formula>NOT(ISERROR(SEARCH($H$10,E434)))</formula>
      <formula>$H$10</formula>
    </cfRule>
    <cfRule type="containsText" dxfId="4698" priority="6139" operator="containsText" text="$H$11">
      <formula>NOT(ISERROR(SEARCH($H$11,E434)))</formula>
      <formula>$H$11</formula>
    </cfRule>
    <cfRule type="containsText" dxfId="4697" priority="6138" operator="containsText" text="$H$12">
      <formula>NOT(ISERROR(SEARCH($H$12,E434)))</formula>
      <formula>$H$12</formula>
    </cfRule>
    <cfRule type="containsText" dxfId="4696" priority="6137" operator="containsText" text="$H$13">
      <formula>NOT(ISERROR(SEARCH($H$13,E434)))</formula>
      <formula>$H$13</formula>
    </cfRule>
  </conditionalFormatting>
  <conditionalFormatting sqref="F420">
    <cfRule type="containsText" dxfId="4695" priority="6136" operator="containsText" text="$H$7">
      <formula>NOT(ISERROR(SEARCH($H$7,F420)))</formula>
      <formula>$H$7</formula>
    </cfRule>
    <cfRule type="containsText" dxfId="4694" priority="6135" operator="containsText" text="$H$8">
      <formula>NOT(ISERROR(SEARCH($H$8,F420)))</formula>
      <formula>$H$8</formula>
    </cfRule>
    <cfRule type="containsText" dxfId="4693" priority="6134" operator="containsText" text="$H$8">
      <formula>NOT(ISERROR(SEARCH($H$8,F420)))</formula>
      <formula>$H$8</formula>
    </cfRule>
    <cfRule type="containsText" dxfId="4692" priority="6133" operator="containsText" text="$H$9">
      <formula>NOT(ISERROR(SEARCH($H$9,F420)))</formula>
      <formula>$H$9</formula>
    </cfRule>
    <cfRule type="containsText" dxfId="4691" priority="6132" operator="containsText" text="$H$10">
      <formula>NOT(ISERROR(SEARCH($H$10,F420)))</formula>
      <formula>$H$10</formula>
    </cfRule>
    <cfRule type="containsText" dxfId="4690" priority="6131" operator="containsText" text="$H$11">
      <formula>NOT(ISERROR(SEARCH($H$11,F420)))</formula>
      <formula>$H$11</formula>
    </cfRule>
    <cfRule type="containsText" dxfId="4689" priority="6130" operator="containsText" text="$H$12">
      <formula>NOT(ISERROR(SEARCH($H$12,F420)))</formula>
      <formula>$H$12</formula>
    </cfRule>
    <cfRule type="containsText" dxfId="4688" priority="6129" operator="containsText" text="$H$13">
      <formula>NOT(ISERROR(SEARCH($H$13,F420)))</formula>
      <formula>$H$13</formula>
    </cfRule>
  </conditionalFormatting>
  <conditionalFormatting sqref="F422">
    <cfRule type="containsText" dxfId="4687" priority="6128" operator="containsText" text="$H$7">
      <formula>NOT(ISERROR(SEARCH($H$7,F422)))</formula>
      <formula>$H$7</formula>
    </cfRule>
    <cfRule type="containsText" dxfId="4686" priority="6127" operator="containsText" text="$H$8">
      <formula>NOT(ISERROR(SEARCH($H$8,F422)))</formula>
      <formula>$H$8</formula>
    </cfRule>
    <cfRule type="containsText" dxfId="4685" priority="6126" operator="containsText" text="$H$8">
      <formula>NOT(ISERROR(SEARCH($H$8,F422)))</formula>
      <formula>$H$8</formula>
    </cfRule>
    <cfRule type="containsText" dxfId="4684" priority="6125" operator="containsText" text="$H$9">
      <formula>NOT(ISERROR(SEARCH($H$9,F422)))</formula>
      <formula>$H$9</formula>
    </cfRule>
    <cfRule type="containsText" dxfId="4683" priority="6124" operator="containsText" text="$H$10">
      <formula>NOT(ISERROR(SEARCH($H$10,F422)))</formula>
      <formula>$H$10</formula>
    </cfRule>
    <cfRule type="containsText" dxfId="4682" priority="6123" operator="containsText" text="$H$11">
      <formula>NOT(ISERROR(SEARCH($H$11,F422)))</formula>
      <formula>$H$11</formula>
    </cfRule>
    <cfRule type="containsText" dxfId="4681" priority="6122" operator="containsText" text="$H$12">
      <formula>NOT(ISERROR(SEARCH($H$12,F422)))</formula>
      <formula>$H$12</formula>
    </cfRule>
    <cfRule type="containsText" dxfId="4680" priority="6121" operator="containsText" text="$H$13">
      <formula>NOT(ISERROR(SEARCH($H$13,F422)))</formula>
      <formula>$H$13</formula>
    </cfRule>
  </conditionalFormatting>
  <conditionalFormatting sqref="F424">
    <cfRule type="containsText" dxfId="4679" priority="6120" operator="containsText" text="$H$7">
      <formula>NOT(ISERROR(SEARCH($H$7,F424)))</formula>
      <formula>$H$7</formula>
    </cfRule>
    <cfRule type="containsText" dxfId="4678" priority="6119" operator="containsText" text="$H$8">
      <formula>NOT(ISERROR(SEARCH($H$8,F424)))</formula>
      <formula>$H$8</formula>
    </cfRule>
    <cfRule type="containsText" dxfId="4677" priority="6118" operator="containsText" text="$H$8">
      <formula>NOT(ISERROR(SEARCH($H$8,F424)))</formula>
      <formula>$H$8</formula>
    </cfRule>
    <cfRule type="containsText" dxfId="4676" priority="6117" operator="containsText" text="$H$9">
      <formula>NOT(ISERROR(SEARCH($H$9,F424)))</formula>
      <formula>$H$9</formula>
    </cfRule>
    <cfRule type="containsText" dxfId="4675" priority="6116" operator="containsText" text="$H$10">
      <formula>NOT(ISERROR(SEARCH($H$10,F424)))</formula>
      <formula>$H$10</formula>
    </cfRule>
    <cfRule type="containsText" dxfId="4674" priority="6115" operator="containsText" text="$H$11">
      <formula>NOT(ISERROR(SEARCH($H$11,F424)))</formula>
      <formula>$H$11</formula>
    </cfRule>
    <cfRule type="containsText" dxfId="4673" priority="6114" operator="containsText" text="$H$12">
      <formula>NOT(ISERROR(SEARCH($H$12,F424)))</formula>
      <formula>$H$12</formula>
    </cfRule>
    <cfRule type="containsText" dxfId="4672" priority="6113" operator="containsText" text="$H$13">
      <formula>NOT(ISERROR(SEARCH($H$13,F424)))</formula>
      <formula>$H$13</formula>
    </cfRule>
  </conditionalFormatting>
  <conditionalFormatting sqref="F426">
    <cfRule type="containsText" dxfId="4671" priority="6112" operator="containsText" text="$H$7">
      <formula>NOT(ISERROR(SEARCH($H$7,F426)))</formula>
      <formula>$H$7</formula>
    </cfRule>
    <cfRule type="containsText" dxfId="4670" priority="6111" operator="containsText" text="$H$8">
      <formula>NOT(ISERROR(SEARCH($H$8,F426)))</formula>
      <formula>$H$8</formula>
    </cfRule>
    <cfRule type="containsText" dxfId="4669" priority="6110" operator="containsText" text="$H$8">
      <formula>NOT(ISERROR(SEARCH($H$8,F426)))</formula>
      <formula>$H$8</formula>
    </cfRule>
    <cfRule type="containsText" dxfId="4668" priority="6109" operator="containsText" text="$H$9">
      <formula>NOT(ISERROR(SEARCH($H$9,F426)))</formula>
      <formula>$H$9</formula>
    </cfRule>
    <cfRule type="containsText" dxfId="4667" priority="6108" operator="containsText" text="$H$10">
      <formula>NOT(ISERROR(SEARCH($H$10,F426)))</formula>
      <formula>$H$10</formula>
    </cfRule>
    <cfRule type="containsText" dxfId="4666" priority="6107" operator="containsText" text="$H$11">
      <formula>NOT(ISERROR(SEARCH($H$11,F426)))</formula>
      <formula>$H$11</formula>
    </cfRule>
    <cfRule type="containsText" dxfId="4665" priority="6106" operator="containsText" text="$H$12">
      <formula>NOT(ISERROR(SEARCH($H$12,F426)))</formula>
      <formula>$H$12</formula>
    </cfRule>
    <cfRule type="containsText" dxfId="4664" priority="6105" operator="containsText" text="$H$13">
      <formula>NOT(ISERROR(SEARCH($H$13,F426)))</formula>
      <formula>$H$13</formula>
    </cfRule>
  </conditionalFormatting>
  <conditionalFormatting sqref="F428">
    <cfRule type="containsText" dxfId="4663" priority="6104" operator="containsText" text="$H$7">
      <formula>NOT(ISERROR(SEARCH($H$7,F428)))</formula>
      <formula>$H$7</formula>
    </cfRule>
    <cfRule type="containsText" dxfId="4662" priority="6103" operator="containsText" text="$H$8">
      <formula>NOT(ISERROR(SEARCH($H$8,F428)))</formula>
      <formula>$H$8</formula>
    </cfRule>
    <cfRule type="containsText" dxfId="4661" priority="6102" operator="containsText" text="$H$8">
      <formula>NOT(ISERROR(SEARCH($H$8,F428)))</formula>
      <formula>$H$8</formula>
    </cfRule>
    <cfRule type="containsText" dxfId="4660" priority="6101" operator="containsText" text="$H$9">
      <formula>NOT(ISERROR(SEARCH($H$9,F428)))</formula>
      <formula>$H$9</formula>
    </cfRule>
    <cfRule type="containsText" dxfId="4659" priority="6100" operator="containsText" text="$H$10">
      <formula>NOT(ISERROR(SEARCH($H$10,F428)))</formula>
      <formula>$H$10</formula>
    </cfRule>
    <cfRule type="containsText" dxfId="4658" priority="6099" operator="containsText" text="$H$11">
      <formula>NOT(ISERROR(SEARCH($H$11,F428)))</formula>
      <formula>$H$11</formula>
    </cfRule>
    <cfRule type="containsText" dxfId="4657" priority="6098" operator="containsText" text="$H$12">
      <formula>NOT(ISERROR(SEARCH($H$12,F428)))</formula>
      <formula>$H$12</formula>
    </cfRule>
    <cfRule type="containsText" dxfId="4656" priority="6097" operator="containsText" text="$H$13">
      <formula>NOT(ISERROR(SEARCH($H$13,F428)))</formula>
      <formula>$H$13</formula>
    </cfRule>
  </conditionalFormatting>
  <conditionalFormatting sqref="F430">
    <cfRule type="containsText" dxfId="4655" priority="6096" operator="containsText" text="$H$7">
      <formula>NOT(ISERROR(SEARCH($H$7,F430)))</formula>
      <formula>$H$7</formula>
    </cfRule>
    <cfRule type="containsText" dxfId="4654" priority="6095" operator="containsText" text="$H$8">
      <formula>NOT(ISERROR(SEARCH($H$8,F430)))</formula>
      <formula>$H$8</formula>
    </cfRule>
    <cfRule type="containsText" dxfId="4653" priority="6094" operator="containsText" text="$H$8">
      <formula>NOT(ISERROR(SEARCH($H$8,F430)))</formula>
      <formula>$H$8</formula>
    </cfRule>
    <cfRule type="containsText" dxfId="4652" priority="6093" operator="containsText" text="$H$9">
      <formula>NOT(ISERROR(SEARCH($H$9,F430)))</formula>
      <formula>$H$9</formula>
    </cfRule>
    <cfRule type="containsText" dxfId="4651" priority="6092" operator="containsText" text="$H$10">
      <formula>NOT(ISERROR(SEARCH($H$10,F430)))</formula>
      <formula>$H$10</formula>
    </cfRule>
    <cfRule type="containsText" dxfId="4650" priority="6091" operator="containsText" text="$H$11">
      <formula>NOT(ISERROR(SEARCH($H$11,F430)))</formula>
      <formula>$H$11</formula>
    </cfRule>
    <cfRule type="containsText" dxfId="4649" priority="6090" operator="containsText" text="$H$12">
      <formula>NOT(ISERROR(SEARCH($H$12,F430)))</formula>
      <formula>$H$12</formula>
    </cfRule>
    <cfRule type="containsText" dxfId="4648" priority="6089" operator="containsText" text="$H$13">
      <formula>NOT(ISERROR(SEARCH($H$13,F430)))</formula>
      <formula>$H$13</formula>
    </cfRule>
  </conditionalFormatting>
  <conditionalFormatting sqref="F432">
    <cfRule type="containsText" dxfId="4647" priority="6088" operator="containsText" text="$H$7">
      <formula>NOT(ISERROR(SEARCH($H$7,F432)))</formula>
      <formula>$H$7</formula>
    </cfRule>
    <cfRule type="containsText" dxfId="4646" priority="6087" operator="containsText" text="$H$8">
      <formula>NOT(ISERROR(SEARCH($H$8,F432)))</formula>
      <formula>$H$8</formula>
    </cfRule>
    <cfRule type="containsText" dxfId="4645" priority="6086" operator="containsText" text="$H$8">
      <formula>NOT(ISERROR(SEARCH($H$8,F432)))</formula>
      <formula>$H$8</formula>
    </cfRule>
    <cfRule type="containsText" dxfId="4644" priority="6085" operator="containsText" text="$H$9">
      <formula>NOT(ISERROR(SEARCH($H$9,F432)))</formula>
      <formula>$H$9</formula>
    </cfRule>
    <cfRule type="containsText" dxfId="4643" priority="6084" operator="containsText" text="$H$10">
      <formula>NOT(ISERROR(SEARCH($H$10,F432)))</formula>
      <formula>$H$10</formula>
    </cfRule>
    <cfRule type="containsText" dxfId="4642" priority="6083" operator="containsText" text="$H$11">
      <formula>NOT(ISERROR(SEARCH($H$11,F432)))</formula>
      <formula>$H$11</formula>
    </cfRule>
    <cfRule type="containsText" dxfId="4641" priority="6082" operator="containsText" text="$H$12">
      <formula>NOT(ISERROR(SEARCH($H$12,F432)))</formula>
      <formula>$H$12</formula>
    </cfRule>
    <cfRule type="containsText" dxfId="4640" priority="6081" operator="containsText" text="$H$13">
      <formula>NOT(ISERROR(SEARCH($H$13,F432)))</formula>
      <formula>$H$13</formula>
    </cfRule>
  </conditionalFormatting>
  <conditionalFormatting sqref="F434">
    <cfRule type="containsText" dxfId="4639" priority="6080" operator="containsText" text="$H$7">
      <formula>NOT(ISERROR(SEARCH($H$7,F434)))</formula>
      <formula>$H$7</formula>
    </cfRule>
    <cfRule type="containsText" dxfId="4638" priority="6079" operator="containsText" text="$H$8">
      <formula>NOT(ISERROR(SEARCH($H$8,F434)))</formula>
      <formula>$H$8</formula>
    </cfRule>
    <cfRule type="containsText" dxfId="4637" priority="6078" operator="containsText" text="$H$8">
      <formula>NOT(ISERROR(SEARCH($H$8,F434)))</formula>
      <formula>$H$8</formula>
    </cfRule>
    <cfRule type="containsText" dxfId="4636" priority="6077" operator="containsText" text="$H$9">
      <formula>NOT(ISERROR(SEARCH($H$9,F434)))</formula>
      <formula>$H$9</formula>
    </cfRule>
    <cfRule type="containsText" dxfId="4635" priority="6076" operator="containsText" text="$H$10">
      <formula>NOT(ISERROR(SEARCH($H$10,F434)))</formula>
      <formula>$H$10</formula>
    </cfRule>
    <cfRule type="containsText" dxfId="4634" priority="6075" operator="containsText" text="$H$11">
      <formula>NOT(ISERROR(SEARCH($H$11,F434)))</formula>
      <formula>$H$11</formula>
    </cfRule>
    <cfRule type="containsText" dxfId="4633" priority="6074" operator="containsText" text="$H$12">
      <formula>NOT(ISERROR(SEARCH($H$12,F434)))</formula>
      <formula>$H$12</formula>
    </cfRule>
    <cfRule type="containsText" dxfId="4632" priority="6073" operator="containsText" text="$H$13">
      <formula>NOT(ISERROR(SEARCH($H$13,F434)))</formula>
      <formula>$H$13</formula>
    </cfRule>
  </conditionalFormatting>
  <conditionalFormatting sqref="B438">
    <cfRule type="containsText" dxfId="4631" priority="6072" operator="containsText" text="$H$7">
      <formula>NOT(ISERROR(SEARCH($H$7,B438)))</formula>
      <formula>$H$7</formula>
    </cfRule>
    <cfRule type="containsText" dxfId="4630" priority="6071" operator="containsText" text="$H$8">
      <formula>NOT(ISERROR(SEARCH($H$8,B438)))</formula>
      <formula>$H$8</formula>
    </cfRule>
    <cfRule type="containsText" dxfId="4629" priority="6070" operator="containsText" text="$H$8">
      <formula>NOT(ISERROR(SEARCH($H$8,B438)))</formula>
      <formula>$H$8</formula>
    </cfRule>
    <cfRule type="containsText" dxfId="4628" priority="6069" operator="containsText" text="$H$9">
      <formula>NOT(ISERROR(SEARCH($H$9,B438)))</formula>
      <formula>$H$9</formula>
    </cfRule>
    <cfRule type="containsText" dxfId="4627" priority="6068" operator="containsText" text="$H$10">
      <formula>NOT(ISERROR(SEARCH($H$10,B438)))</formula>
      <formula>$H$10</formula>
    </cfRule>
    <cfRule type="containsText" dxfId="4626" priority="6067" operator="containsText" text="$H$11">
      <formula>NOT(ISERROR(SEARCH($H$11,B438)))</formula>
      <formula>$H$11</formula>
    </cfRule>
    <cfRule type="containsText" dxfId="4625" priority="6066" operator="containsText" text="$H$12">
      <formula>NOT(ISERROR(SEARCH($H$12,B438)))</formula>
      <formula>$H$12</formula>
    </cfRule>
    <cfRule type="containsText" dxfId="4624" priority="6065" operator="containsText" text="$H$13">
      <formula>NOT(ISERROR(SEARCH($H$13,B438)))</formula>
      <formula>$H$13</formula>
    </cfRule>
  </conditionalFormatting>
  <conditionalFormatting sqref="B440">
    <cfRule type="containsText" dxfId="4623" priority="6064" operator="containsText" text="$H$7">
      <formula>NOT(ISERROR(SEARCH($H$7,B440)))</formula>
      <formula>$H$7</formula>
    </cfRule>
    <cfRule type="containsText" dxfId="4622" priority="6063" operator="containsText" text="$H$8">
      <formula>NOT(ISERROR(SEARCH($H$8,B440)))</formula>
      <formula>$H$8</formula>
    </cfRule>
    <cfRule type="containsText" dxfId="4621" priority="6062" operator="containsText" text="$H$8">
      <formula>NOT(ISERROR(SEARCH($H$8,B440)))</formula>
      <formula>$H$8</formula>
    </cfRule>
    <cfRule type="containsText" dxfId="4620" priority="6061" operator="containsText" text="$H$9">
      <formula>NOT(ISERROR(SEARCH($H$9,B440)))</formula>
      <formula>$H$9</formula>
    </cfRule>
    <cfRule type="containsText" dxfId="4619" priority="6060" operator="containsText" text="$H$10">
      <formula>NOT(ISERROR(SEARCH($H$10,B440)))</formula>
      <formula>$H$10</formula>
    </cfRule>
    <cfRule type="containsText" dxfId="4618" priority="6059" operator="containsText" text="$H$11">
      <formula>NOT(ISERROR(SEARCH($H$11,B440)))</formula>
      <formula>$H$11</formula>
    </cfRule>
    <cfRule type="containsText" dxfId="4617" priority="6058" operator="containsText" text="$H$12">
      <formula>NOT(ISERROR(SEARCH($H$12,B440)))</formula>
      <formula>$H$12</formula>
    </cfRule>
    <cfRule type="containsText" dxfId="4616" priority="6057" operator="containsText" text="$H$13">
      <formula>NOT(ISERROR(SEARCH($H$13,B440)))</formula>
      <formula>$H$13</formula>
    </cfRule>
  </conditionalFormatting>
  <conditionalFormatting sqref="B442">
    <cfRule type="containsText" dxfId="4615" priority="6056" operator="containsText" text="$H$7">
      <formula>NOT(ISERROR(SEARCH($H$7,B442)))</formula>
      <formula>$H$7</formula>
    </cfRule>
    <cfRule type="containsText" dxfId="4614" priority="6055" operator="containsText" text="$H$8">
      <formula>NOT(ISERROR(SEARCH($H$8,B442)))</formula>
      <formula>$H$8</formula>
    </cfRule>
    <cfRule type="containsText" dxfId="4613" priority="6054" operator="containsText" text="$H$8">
      <formula>NOT(ISERROR(SEARCH($H$8,B442)))</formula>
      <formula>$H$8</formula>
    </cfRule>
    <cfRule type="containsText" dxfId="4612" priority="6053" operator="containsText" text="$H$9">
      <formula>NOT(ISERROR(SEARCH($H$9,B442)))</formula>
      <formula>$H$9</formula>
    </cfRule>
    <cfRule type="containsText" dxfId="4611" priority="6052" operator="containsText" text="$H$10">
      <formula>NOT(ISERROR(SEARCH($H$10,B442)))</formula>
      <formula>$H$10</formula>
    </cfRule>
    <cfRule type="containsText" dxfId="4610" priority="6051" operator="containsText" text="$H$11">
      <formula>NOT(ISERROR(SEARCH($H$11,B442)))</formula>
      <formula>$H$11</formula>
    </cfRule>
    <cfRule type="containsText" dxfId="4609" priority="6050" operator="containsText" text="$H$12">
      <formula>NOT(ISERROR(SEARCH($H$12,B442)))</formula>
      <formula>$H$12</formula>
    </cfRule>
    <cfRule type="containsText" dxfId="4608" priority="6049" operator="containsText" text="$H$13">
      <formula>NOT(ISERROR(SEARCH($H$13,B442)))</formula>
      <formula>$H$13</formula>
    </cfRule>
  </conditionalFormatting>
  <conditionalFormatting sqref="B444">
    <cfRule type="containsText" dxfId="4607" priority="6048" operator="containsText" text="$H$7">
      <formula>NOT(ISERROR(SEARCH($H$7,B444)))</formula>
      <formula>$H$7</formula>
    </cfRule>
    <cfRule type="containsText" dxfId="4606" priority="6047" operator="containsText" text="$H$8">
      <formula>NOT(ISERROR(SEARCH($H$8,B444)))</formula>
      <formula>$H$8</formula>
    </cfRule>
    <cfRule type="containsText" dxfId="4605" priority="6046" operator="containsText" text="$H$8">
      <formula>NOT(ISERROR(SEARCH($H$8,B444)))</formula>
      <formula>$H$8</formula>
    </cfRule>
    <cfRule type="containsText" dxfId="4604" priority="6045" operator="containsText" text="$H$9">
      <formula>NOT(ISERROR(SEARCH($H$9,B444)))</formula>
      <formula>$H$9</formula>
    </cfRule>
    <cfRule type="containsText" dxfId="4603" priority="6044" operator="containsText" text="$H$10">
      <formula>NOT(ISERROR(SEARCH($H$10,B444)))</formula>
      <formula>$H$10</formula>
    </cfRule>
    <cfRule type="containsText" dxfId="4602" priority="6043" operator="containsText" text="$H$11">
      <formula>NOT(ISERROR(SEARCH($H$11,B444)))</formula>
      <formula>$H$11</formula>
    </cfRule>
    <cfRule type="containsText" dxfId="4601" priority="6042" operator="containsText" text="$H$12">
      <formula>NOT(ISERROR(SEARCH($H$12,B444)))</formula>
      <formula>$H$12</formula>
    </cfRule>
    <cfRule type="containsText" dxfId="4600" priority="6041" operator="containsText" text="$H$13">
      <formula>NOT(ISERROR(SEARCH($H$13,B444)))</formula>
      <formula>$H$13</formula>
    </cfRule>
  </conditionalFormatting>
  <conditionalFormatting sqref="C438:C439">
    <cfRule type="containsText" dxfId="4599" priority="6008" operator="containsText" text="$H$7">
      <formula>NOT(ISERROR(SEARCH($H$7,C438)))</formula>
      <formula>$H$7</formula>
    </cfRule>
    <cfRule type="containsText" dxfId="4598" priority="6007" operator="containsText" text="$H$8">
      <formula>NOT(ISERROR(SEARCH($H$8,C438)))</formula>
      <formula>$H$8</formula>
    </cfRule>
    <cfRule type="containsText" dxfId="4597" priority="6006" operator="containsText" text="$H$8">
      <formula>NOT(ISERROR(SEARCH($H$8,C438)))</formula>
      <formula>$H$8</formula>
    </cfRule>
    <cfRule type="containsText" dxfId="4596" priority="6005" operator="containsText" text="$H$9">
      <formula>NOT(ISERROR(SEARCH($H$9,C438)))</formula>
      <formula>$H$9</formula>
    </cfRule>
    <cfRule type="containsText" dxfId="4595" priority="6004" operator="containsText" text="$H$10">
      <formula>NOT(ISERROR(SEARCH($H$10,C438)))</formula>
      <formula>$H$10</formula>
    </cfRule>
    <cfRule type="containsText" dxfId="4594" priority="6003" operator="containsText" text="$H$11">
      <formula>NOT(ISERROR(SEARCH($H$11,C438)))</formula>
      <formula>$H$11</formula>
    </cfRule>
    <cfRule type="containsText" dxfId="4593" priority="6002" operator="containsText" text="$H$12">
      <formula>NOT(ISERROR(SEARCH($H$12,C438)))</formula>
      <formula>$H$12</formula>
    </cfRule>
    <cfRule type="containsText" dxfId="4592" priority="6001" operator="containsText" text="$H$13">
      <formula>NOT(ISERROR(SEARCH($H$13,C438)))</formula>
      <formula>$H$13</formula>
    </cfRule>
  </conditionalFormatting>
  <conditionalFormatting sqref="C440">
    <cfRule type="containsText" dxfId="4591" priority="6000" operator="containsText" text="$H$7">
      <formula>NOT(ISERROR(SEARCH($H$7,C440)))</formula>
      <formula>$H$7</formula>
    </cfRule>
    <cfRule type="containsText" dxfId="4590" priority="5999" operator="containsText" text="$H$8">
      <formula>NOT(ISERROR(SEARCH($H$8,C440)))</formula>
      <formula>$H$8</formula>
    </cfRule>
    <cfRule type="containsText" dxfId="4589" priority="5998" operator="containsText" text="$H$8">
      <formula>NOT(ISERROR(SEARCH($H$8,C440)))</formula>
      <formula>$H$8</formula>
    </cfRule>
    <cfRule type="containsText" dxfId="4588" priority="5997" operator="containsText" text="$H$9">
      <formula>NOT(ISERROR(SEARCH($H$9,C440)))</formula>
      <formula>$H$9</formula>
    </cfRule>
    <cfRule type="containsText" dxfId="4587" priority="5996" operator="containsText" text="$H$10">
      <formula>NOT(ISERROR(SEARCH($H$10,C440)))</formula>
      <formula>$H$10</formula>
    </cfRule>
    <cfRule type="containsText" dxfId="4586" priority="5995" operator="containsText" text="$H$11">
      <formula>NOT(ISERROR(SEARCH($H$11,C440)))</formula>
      <formula>$H$11</formula>
    </cfRule>
    <cfRule type="containsText" dxfId="4585" priority="5994" operator="containsText" text="$H$12">
      <formula>NOT(ISERROR(SEARCH($H$12,C440)))</formula>
      <formula>$H$12</formula>
    </cfRule>
    <cfRule type="containsText" dxfId="4584" priority="5993" operator="containsText" text="$H$13">
      <formula>NOT(ISERROR(SEARCH($H$13,C440)))</formula>
      <formula>$H$13</formula>
    </cfRule>
  </conditionalFormatting>
  <conditionalFormatting sqref="C442">
    <cfRule type="containsText" dxfId="4583" priority="5992" operator="containsText" text="$H$7">
      <formula>NOT(ISERROR(SEARCH($H$7,C442)))</formula>
      <formula>$H$7</formula>
    </cfRule>
    <cfRule type="containsText" dxfId="4582" priority="5991" operator="containsText" text="$H$8">
      <formula>NOT(ISERROR(SEARCH($H$8,C442)))</formula>
      <formula>$H$8</formula>
    </cfRule>
    <cfRule type="containsText" dxfId="4581" priority="5990" operator="containsText" text="$H$8">
      <formula>NOT(ISERROR(SEARCH($H$8,C442)))</formula>
      <formula>$H$8</formula>
    </cfRule>
    <cfRule type="containsText" dxfId="4580" priority="5989" operator="containsText" text="$H$9">
      <formula>NOT(ISERROR(SEARCH($H$9,C442)))</formula>
      <formula>$H$9</formula>
    </cfRule>
    <cfRule type="containsText" dxfId="4579" priority="5988" operator="containsText" text="$H$10">
      <formula>NOT(ISERROR(SEARCH($H$10,C442)))</formula>
      <formula>$H$10</formula>
    </cfRule>
    <cfRule type="containsText" dxfId="4578" priority="5987" operator="containsText" text="$H$11">
      <formula>NOT(ISERROR(SEARCH($H$11,C442)))</formula>
      <formula>$H$11</formula>
    </cfRule>
    <cfRule type="containsText" dxfId="4577" priority="5986" operator="containsText" text="$H$12">
      <formula>NOT(ISERROR(SEARCH($H$12,C442)))</formula>
      <formula>$H$12</formula>
    </cfRule>
    <cfRule type="containsText" dxfId="4576" priority="5985" operator="containsText" text="$H$13">
      <formula>NOT(ISERROR(SEARCH($H$13,C442)))</formula>
      <formula>$H$13</formula>
    </cfRule>
  </conditionalFormatting>
  <conditionalFormatting sqref="C444">
    <cfRule type="containsText" dxfId="4575" priority="5984" operator="containsText" text="$H$7">
      <formula>NOT(ISERROR(SEARCH($H$7,C444)))</formula>
      <formula>$H$7</formula>
    </cfRule>
    <cfRule type="containsText" dxfId="4574" priority="5983" operator="containsText" text="$H$8">
      <formula>NOT(ISERROR(SEARCH($H$8,C444)))</formula>
      <formula>$H$8</formula>
    </cfRule>
    <cfRule type="containsText" dxfId="4573" priority="5982" operator="containsText" text="$H$8">
      <formula>NOT(ISERROR(SEARCH($H$8,C444)))</formula>
      <formula>$H$8</formula>
    </cfRule>
    <cfRule type="containsText" dxfId="4572" priority="5981" operator="containsText" text="$H$9">
      <formula>NOT(ISERROR(SEARCH($H$9,C444)))</formula>
      <formula>$H$9</formula>
    </cfRule>
    <cfRule type="containsText" dxfId="4571" priority="5980" operator="containsText" text="$H$10">
      <formula>NOT(ISERROR(SEARCH($H$10,C444)))</formula>
      <formula>$H$10</formula>
    </cfRule>
    <cfRule type="containsText" dxfId="4570" priority="5979" operator="containsText" text="$H$11">
      <formula>NOT(ISERROR(SEARCH($H$11,C444)))</formula>
      <formula>$H$11</formula>
    </cfRule>
    <cfRule type="containsText" dxfId="4569" priority="5978" operator="containsText" text="$H$12">
      <formula>NOT(ISERROR(SEARCH($H$12,C444)))</formula>
      <formula>$H$12</formula>
    </cfRule>
    <cfRule type="containsText" dxfId="4568" priority="5977" operator="containsText" text="$H$13">
      <formula>NOT(ISERROR(SEARCH($H$13,C444)))</formula>
      <formula>$H$13</formula>
    </cfRule>
  </conditionalFormatting>
  <conditionalFormatting sqref="C446:C447">
    <cfRule type="containsText" dxfId="4567" priority="5976" operator="containsText" text="$H$7">
      <formula>NOT(ISERROR(SEARCH($H$7,C446)))</formula>
      <formula>$H$7</formula>
    </cfRule>
    <cfRule type="containsText" dxfId="4566" priority="5975" operator="containsText" text="$H$8">
      <formula>NOT(ISERROR(SEARCH($H$8,C446)))</formula>
      <formula>$H$8</formula>
    </cfRule>
    <cfRule type="containsText" dxfId="4565" priority="5974" operator="containsText" text="$H$8">
      <formula>NOT(ISERROR(SEARCH($H$8,C446)))</formula>
      <formula>$H$8</formula>
    </cfRule>
    <cfRule type="containsText" dxfId="4564" priority="5973" operator="containsText" text="$H$9">
      <formula>NOT(ISERROR(SEARCH($H$9,C446)))</formula>
      <formula>$H$9</formula>
    </cfRule>
    <cfRule type="containsText" dxfId="4563" priority="5972" operator="containsText" text="$H$10">
      <formula>NOT(ISERROR(SEARCH($H$10,C446)))</formula>
      <formula>$H$10</formula>
    </cfRule>
    <cfRule type="containsText" dxfId="4562" priority="5971" operator="containsText" text="$H$11">
      <formula>NOT(ISERROR(SEARCH($H$11,C446)))</formula>
      <formula>$H$11</formula>
    </cfRule>
    <cfRule type="containsText" dxfId="4561" priority="5970" operator="containsText" text="$H$12">
      <formula>NOT(ISERROR(SEARCH($H$12,C446)))</formula>
      <formula>$H$12</formula>
    </cfRule>
    <cfRule type="containsText" dxfId="4560" priority="5969" operator="containsText" text="$H$13">
      <formula>NOT(ISERROR(SEARCH($H$13,C446)))</formula>
      <formula>$H$13</formula>
    </cfRule>
  </conditionalFormatting>
  <conditionalFormatting sqref="C448">
    <cfRule type="containsText" dxfId="4559" priority="5968" operator="containsText" text="$H$7">
      <formula>NOT(ISERROR(SEARCH($H$7,C448)))</formula>
      <formula>$H$7</formula>
    </cfRule>
    <cfRule type="containsText" dxfId="4558" priority="5967" operator="containsText" text="$H$8">
      <formula>NOT(ISERROR(SEARCH($H$8,C448)))</formula>
      <formula>$H$8</formula>
    </cfRule>
    <cfRule type="containsText" dxfId="4557" priority="5966" operator="containsText" text="$H$8">
      <formula>NOT(ISERROR(SEARCH($H$8,C448)))</formula>
      <formula>$H$8</formula>
    </cfRule>
    <cfRule type="containsText" dxfId="4556" priority="5965" operator="containsText" text="$H$9">
      <formula>NOT(ISERROR(SEARCH($H$9,C448)))</formula>
      <formula>$H$9</formula>
    </cfRule>
    <cfRule type="containsText" dxfId="4555" priority="5964" operator="containsText" text="$H$10">
      <formula>NOT(ISERROR(SEARCH($H$10,C448)))</formula>
      <formula>$H$10</formula>
    </cfRule>
    <cfRule type="containsText" dxfId="4554" priority="5963" operator="containsText" text="$H$11">
      <formula>NOT(ISERROR(SEARCH($H$11,C448)))</formula>
      <formula>$H$11</formula>
    </cfRule>
    <cfRule type="containsText" dxfId="4553" priority="5962" operator="containsText" text="$H$12">
      <formula>NOT(ISERROR(SEARCH($H$12,C448)))</formula>
      <formula>$H$12</formula>
    </cfRule>
    <cfRule type="containsText" dxfId="4552" priority="5961" operator="containsText" text="$H$13">
      <formula>NOT(ISERROR(SEARCH($H$13,C448)))</formula>
      <formula>$H$13</formula>
    </cfRule>
  </conditionalFormatting>
  <conditionalFormatting sqref="C450">
    <cfRule type="containsText" dxfId="4551" priority="5960" operator="containsText" text="$H$7">
      <formula>NOT(ISERROR(SEARCH($H$7,C450)))</formula>
      <formula>$H$7</formula>
    </cfRule>
    <cfRule type="containsText" dxfId="4550" priority="5959" operator="containsText" text="$H$8">
      <formula>NOT(ISERROR(SEARCH($H$8,C450)))</formula>
      <formula>$H$8</formula>
    </cfRule>
    <cfRule type="containsText" dxfId="4549" priority="5958" operator="containsText" text="$H$8">
      <formula>NOT(ISERROR(SEARCH($H$8,C450)))</formula>
      <formula>$H$8</formula>
    </cfRule>
    <cfRule type="containsText" dxfId="4548" priority="5957" operator="containsText" text="$H$9">
      <formula>NOT(ISERROR(SEARCH($H$9,C450)))</formula>
      <formula>$H$9</formula>
    </cfRule>
    <cfRule type="containsText" dxfId="4547" priority="5956" operator="containsText" text="$H$10">
      <formula>NOT(ISERROR(SEARCH($H$10,C450)))</formula>
      <formula>$H$10</formula>
    </cfRule>
    <cfRule type="containsText" dxfId="4546" priority="5955" operator="containsText" text="$H$11">
      <formula>NOT(ISERROR(SEARCH($H$11,C450)))</formula>
      <formula>$H$11</formula>
    </cfRule>
    <cfRule type="containsText" dxfId="4545" priority="5954" operator="containsText" text="$H$12">
      <formula>NOT(ISERROR(SEARCH($H$12,C450)))</formula>
      <formula>$H$12</formula>
    </cfRule>
    <cfRule type="containsText" dxfId="4544" priority="5953" operator="containsText" text="$H$13">
      <formula>NOT(ISERROR(SEARCH($H$13,C450)))</formula>
      <formula>$H$13</formula>
    </cfRule>
  </conditionalFormatting>
  <conditionalFormatting sqref="C452">
    <cfRule type="containsText" dxfId="4543" priority="5952" operator="containsText" text="$H$7">
      <formula>NOT(ISERROR(SEARCH($H$7,C452)))</formula>
      <formula>$H$7</formula>
    </cfRule>
    <cfRule type="containsText" dxfId="4542" priority="5951" operator="containsText" text="$H$8">
      <formula>NOT(ISERROR(SEARCH($H$8,C452)))</formula>
      <formula>$H$8</formula>
    </cfRule>
    <cfRule type="containsText" dxfId="4541" priority="5950" operator="containsText" text="$H$8">
      <formula>NOT(ISERROR(SEARCH($H$8,C452)))</formula>
      <formula>$H$8</formula>
    </cfRule>
    <cfRule type="containsText" dxfId="4540" priority="5949" operator="containsText" text="$H$9">
      <formula>NOT(ISERROR(SEARCH($H$9,C452)))</formula>
      <formula>$H$9</formula>
    </cfRule>
    <cfRule type="containsText" dxfId="4539" priority="5948" operator="containsText" text="$H$10">
      <formula>NOT(ISERROR(SEARCH($H$10,C452)))</formula>
      <formula>$H$10</formula>
    </cfRule>
    <cfRule type="containsText" dxfId="4538" priority="5947" operator="containsText" text="$H$11">
      <formula>NOT(ISERROR(SEARCH($H$11,C452)))</formula>
      <formula>$H$11</formula>
    </cfRule>
    <cfRule type="containsText" dxfId="4537" priority="5946" operator="containsText" text="$H$12">
      <formula>NOT(ISERROR(SEARCH($H$12,C452)))</formula>
      <formula>$H$12</formula>
    </cfRule>
    <cfRule type="containsText" dxfId="4536" priority="5945" operator="containsText" text="$H$13">
      <formula>NOT(ISERROR(SEARCH($H$13,C452)))</formula>
      <formula>$H$13</formula>
    </cfRule>
  </conditionalFormatting>
  <conditionalFormatting sqref="D438">
    <cfRule type="containsText" dxfId="4535" priority="5944" operator="containsText" text="$H$7">
      <formula>NOT(ISERROR(SEARCH($H$7,D438)))</formula>
      <formula>$H$7</formula>
    </cfRule>
    <cfRule type="containsText" dxfId="4534" priority="5943" operator="containsText" text="$H$8">
      <formula>NOT(ISERROR(SEARCH($H$8,D438)))</formula>
      <formula>$H$8</formula>
    </cfRule>
    <cfRule type="containsText" dxfId="4533" priority="5942" operator="containsText" text="$H$8">
      <formula>NOT(ISERROR(SEARCH($H$8,D438)))</formula>
      <formula>$H$8</formula>
    </cfRule>
    <cfRule type="containsText" dxfId="4532" priority="5941" operator="containsText" text="$H$9">
      <formula>NOT(ISERROR(SEARCH($H$9,D438)))</formula>
      <formula>$H$9</formula>
    </cfRule>
    <cfRule type="containsText" dxfId="4531" priority="5940" operator="containsText" text="$H$10">
      <formula>NOT(ISERROR(SEARCH($H$10,D438)))</formula>
      <formula>$H$10</formula>
    </cfRule>
    <cfRule type="containsText" dxfId="4530" priority="5939" operator="containsText" text="$H$11">
      <formula>NOT(ISERROR(SEARCH($H$11,D438)))</formula>
      <formula>$H$11</formula>
    </cfRule>
    <cfRule type="containsText" dxfId="4529" priority="5938" operator="containsText" text="$H$12">
      <formula>NOT(ISERROR(SEARCH($H$12,D438)))</formula>
      <formula>$H$12</formula>
    </cfRule>
    <cfRule type="containsText" dxfId="4528" priority="5937" operator="containsText" text="$H$13">
      <formula>NOT(ISERROR(SEARCH($H$13,D438)))</formula>
      <formula>$H$13</formula>
    </cfRule>
  </conditionalFormatting>
  <conditionalFormatting sqref="D440">
    <cfRule type="containsText" dxfId="4527" priority="5936" operator="containsText" text="$H$7">
      <formula>NOT(ISERROR(SEARCH($H$7,D440)))</formula>
      <formula>$H$7</formula>
    </cfRule>
    <cfRule type="containsText" dxfId="4526" priority="5935" operator="containsText" text="$H$8">
      <formula>NOT(ISERROR(SEARCH($H$8,D440)))</formula>
      <formula>$H$8</formula>
    </cfRule>
    <cfRule type="containsText" dxfId="4525" priority="5934" operator="containsText" text="$H$8">
      <formula>NOT(ISERROR(SEARCH($H$8,D440)))</formula>
      <formula>$H$8</formula>
    </cfRule>
    <cfRule type="containsText" dxfId="4524" priority="5933" operator="containsText" text="$H$9">
      <formula>NOT(ISERROR(SEARCH($H$9,D440)))</formula>
      <formula>$H$9</formula>
    </cfRule>
    <cfRule type="containsText" dxfId="4523" priority="5932" operator="containsText" text="$H$10">
      <formula>NOT(ISERROR(SEARCH($H$10,D440)))</formula>
      <formula>$H$10</formula>
    </cfRule>
    <cfRule type="containsText" dxfId="4522" priority="5931" operator="containsText" text="$H$11">
      <formula>NOT(ISERROR(SEARCH($H$11,D440)))</formula>
      <formula>$H$11</formula>
    </cfRule>
    <cfRule type="containsText" dxfId="4521" priority="5930" operator="containsText" text="$H$12">
      <formula>NOT(ISERROR(SEARCH($H$12,D440)))</formula>
      <formula>$H$12</formula>
    </cfRule>
    <cfRule type="containsText" dxfId="4520" priority="5929" operator="containsText" text="$H$13">
      <formula>NOT(ISERROR(SEARCH($H$13,D440)))</formula>
      <formula>$H$13</formula>
    </cfRule>
  </conditionalFormatting>
  <conditionalFormatting sqref="D442">
    <cfRule type="containsText" dxfId="4519" priority="5928" operator="containsText" text="$H$7">
      <formula>NOT(ISERROR(SEARCH($H$7,D442)))</formula>
      <formula>$H$7</formula>
    </cfRule>
    <cfRule type="containsText" dxfId="4518" priority="5927" operator="containsText" text="$H$8">
      <formula>NOT(ISERROR(SEARCH($H$8,D442)))</formula>
      <formula>$H$8</formula>
    </cfRule>
    <cfRule type="containsText" dxfId="4517" priority="5926" operator="containsText" text="$H$8">
      <formula>NOT(ISERROR(SEARCH($H$8,D442)))</formula>
      <formula>$H$8</formula>
    </cfRule>
    <cfRule type="containsText" dxfId="4516" priority="5925" operator="containsText" text="$H$9">
      <formula>NOT(ISERROR(SEARCH($H$9,D442)))</formula>
      <formula>$H$9</formula>
    </cfRule>
    <cfRule type="containsText" dxfId="4515" priority="5924" operator="containsText" text="$H$10">
      <formula>NOT(ISERROR(SEARCH($H$10,D442)))</formula>
      <formula>$H$10</formula>
    </cfRule>
    <cfRule type="containsText" dxfId="4514" priority="5923" operator="containsText" text="$H$11">
      <formula>NOT(ISERROR(SEARCH($H$11,D442)))</formula>
      <formula>$H$11</formula>
    </cfRule>
    <cfRule type="containsText" dxfId="4513" priority="5922" operator="containsText" text="$H$12">
      <formula>NOT(ISERROR(SEARCH($H$12,D442)))</formula>
      <formula>$H$12</formula>
    </cfRule>
    <cfRule type="containsText" dxfId="4512" priority="5921" operator="containsText" text="$H$13">
      <formula>NOT(ISERROR(SEARCH($H$13,D442)))</formula>
      <formula>$H$13</formula>
    </cfRule>
  </conditionalFormatting>
  <conditionalFormatting sqref="D444">
    <cfRule type="containsText" dxfId="4511" priority="5920" operator="containsText" text="$H$7">
      <formula>NOT(ISERROR(SEARCH($H$7,D444)))</formula>
      <formula>$H$7</formula>
    </cfRule>
    <cfRule type="containsText" dxfId="4510" priority="5919" operator="containsText" text="$H$8">
      <formula>NOT(ISERROR(SEARCH($H$8,D444)))</formula>
      <formula>$H$8</formula>
    </cfRule>
    <cfRule type="containsText" dxfId="4509" priority="5918" operator="containsText" text="$H$8">
      <formula>NOT(ISERROR(SEARCH($H$8,D444)))</formula>
      <formula>$H$8</formula>
    </cfRule>
    <cfRule type="containsText" dxfId="4508" priority="5917" operator="containsText" text="$H$9">
      <formula>NOT(ISERROR(SEARCH($H$9,D444)))</formula>
      <formula>$H$9</formula>
    </cfRule>
    <cfRule type="containsText" dxfId="4507" priority="5916" operator="containsText" text="$H$10">
      <formula>NOT(ISERROR(SEARCH($H$10,D444)))</formula>
      <formula>$H$10</formula>
    </cfRule>
    <cfRule type="containsText" dxfId="4506" priority="5915" operator="containsText" text="$H$11">
      <formula>NOT(ISERROR(SEARCH($H$11,D444)))</formula>
      <formula>$H$11</formula>
    </cfRule>
    <cfRule type="containsText" dxfId="4505" priority="5914" operator="containsText" text="$H$12">
      <formula>NOT(ISERROR(SEARCH($H$12,D444)))</formula>
      <formula>$H$12</formula>
    </cfRule>
    <cfRule type="containsText" dxfId="4504" priority="5913" operator="containsText" text="$H$13">
      <formula>NOT(ISERROR(SEARCH($H$13,D444)))</formula>
      <formula>$H$13</formula>
    </cfRule>
  </conditionalFormatting>
  <conditionalFormatting sqref="D446">
    <cfRule type="containsText" dxfId="4503" priority="5912" operator="containsText" text="$H$7">
      <formula>NOT(ISERROR(SEARCH($H$7,D446)))</formula>
      <formula>$H$7</formula>
    </cfRule>
    <cfRule type="containsText" dxfId="4502" priority="5911" operator="containsText" text="$H$8">
      <formula>NOT(ISERROR(SEARCH($H$8,D446)))</formula>
      <formula>$H$8</formula>
    </cfRule>
    <cfRule type="containsText" dxfId="4501" priority="5910" operator="containsText" text="$H$8">
      <formula>NOT(ISERROR(SEARCH($H$8,D446)))</formula>
      <formula>$H$8</formula>
    </cfRule>
    <cfRule type="containsText" dxfId="4500" priority="5909" operator="containsText" text="$H$9">
      <formula>NOT(ISERROR(SEARCH($H$9,D446)))</formula>
      <formula>$H$9</formula>
    </cfRule>
    <cfRule type="containsText" dxfId="4499" priority="5908" operator="containsText" text="$H$10">
      <formula>NOT(ISERROR(SEARCH($H$10,D446)))</formula>
      <formula>$H$10</formula>
    </cfRule>
    <cfRule type="containsText" dxfId="4498" priority="5907" operator="containsText" text="$H$11">
      <formula>NOT(ISERROR(SEARCH($H$11,D446)))</formula>
      <formula>$H$11</formula>
    </cfRule>
    <cfRule type="containsText" dxfId="4497" priority="5906" operator="containsText" text="$H$12">
      <formula>NOT(ISERROR(SEARCH($H$12,D446)))</formula>
      <formula>$H$12</formula>
    </cfRule>
    <cfRule type="containsText" dxfId="4496" priority="5905" operator="containsText" text="$H$13">
      <formula>NOT(ISERROR(SEARCH($H$13,D446)))</formula>
      <formula>$H$13</formula>
    </cfRule>
  </conditionalFormatting>
  <conditionalFormatting sqref="D448">
    <cfRule type="containsText" dxfId="4495" priority="5904" operator="containsText" text="$H$7">
      <formula>NOT(ISERROR(SEARCH($H$7,D448)))</formula>
      <formula>$H$7</formula>
    </cfRule>
    <cfRule type="containsText" dxfId="4494" priority="5903" operator="containsText" text="$H$8">
      <formula>NOT(ISERROR(SEARCH($H$8,D448)))</formula>
      <formula>$H$8</formula>
    </cfRule>
    <cfRule type="containsText" dxfId="4493" priority="5902" operator="containsText" text="$H$8">
      <formula>NOT(ISERROR(SEARCH($H$8,D448)))</formula>
      <formula>$H$8</formula>
    </cfRule>
    <cfRule type="containsText" dxfId="4492" priority="5901" operator="containsText" text="$H$9">
      <formula>NOT(ISERROR(SEARCH($H$9,D448)))</formula>
      <formula>$H$9</formula>
    </cfRule>
    <cfRule type="containsText" dxfId="4491" priority="5900" operator="containsText" text="$H$10">
      <formula>NOT(ISERROR(SEARCH($H$10,D448)))</formula>
      <formula>$H$10</formula>
    </cfRule>
    <cfRule type="containsText" dxfId="4490" priority="5899" operator="containsText" text="$H$11">
      <formula>NOT(ISERROR(SEARCH($H$11,D448)))</formula>
      <formula>$H$11</formula>
    </cfRule>
    <cfRule type="containsText" dxfId="4489" priority="5898" operator="containsText" text="$H$12">
      <formula>NOT(ISERROR(SEARCH($H$12,D448)))</formula>
      <formula>$H$12</formula>
    </cfRule>
    <cfRule type="containsText" dxfId="4488" priority="5897" operator="containsText" text="$H$13">
      <formula>NOT(ISERROR(SEARCH($H$13,D448)))</formula>
      <formula>$H$13</formula>
    </cfRule>
  </conditionalFormatting>
  <conditionalFormatting sqref="D450">
    <cfRule type="containsText" dxfId="4487" priority="5896" operator="containsText" text="$H$7">
      <formula>NOT(ISERROR(SEARCH($H$7,D450)))</formula>
      <formula>$H$7</formula>
    </cfRule>
    <cfRule type="containsText" dxfId="4486" priority="5895" operator="containsText" text="$H$8">
      <formula>NOT(ISERROR(SEARCH($H$8,D450)))</formula>
      <formula>$H$8</formula>
    </cfRule>
    <cfRule type="containsText" dxfId="4485" priority="5894" operator="containsText" text="$H$8">
      <formula>NOT(ISERROR(SEARCH($H$8,D450)))</formula>
      <formula>$H$8</formula>
    </cfRule>
    <cfRule type="containsText" dxfId="4484" priority="5893" operator="containsText" text="$H$9">
      <formula>NOT(ISERROR(SEARCH($H$9,D450)))</formula>
      <formula>$H$9</formula>
    </cfRule>
    <cfRule type="containsText" dxfId="4483" priority="5892" operator="containsText" text="$H$10">
      <formula>NOT(ISERROR(SEARCH($H$10,D450)))</formula>
      <formula>$H$10</formula>
    </cfRule>
    <cfRule type="containsText" dxfId="4482" priority="5891" operator="containsText" text="$H$11">
      <formula>NOT(ISERROR(SEARCH($H$11,D450)))</formula>
      <formula>$H$11</formula>
    </cfRule>
    <cfRule type="containsText" dxfId="4481" priority="5890" operator="containsText" text="$H$12">
      <formula>NOT(ISERROR(SEARCH($H$12,D450)))</formula>
      <formula>$H$12</formula>
    </cfRule>
    <cfRule type="containsText" dxfId="4480" priority="5889" operator="containsText" text="$H$13">
      <formula>NOT(ISERROR(SEARCH($H$13,D450)))</formula>
      <formula>$H$13</formula>
    </cfRule>
  </conditionalFormatting>
  <conditionalFormatting sqref="D452">
    <cfRule type="containsText" dxfId="4479" priority="5888" operator="containsText" text="$H$7">
      <formula>NOT(ISERROR(SEARCH($H$7,D452)))</formula>
      <formula>$H$7</formula>
    </cfRule>
    <cfRule type="containsText" dxfId="4478" priority="5887" operator="containsText" text="$H$8">
      <formula>NOT(ISERROR(SEARCH($H$8,D452)))</formula>
      <formula>$H$8</formula>
    </cfRule>
    <cfRule type="containsText" dxfId="4477" priority="5886" operator="containsText" text="$H$8">
      <formula>NOT(ISERROR(SEARCH($H$8,D452)))</formula>
      <formula>$H$8</formula>
    </cfRule>
    <cfRule type="containsText" dxfId="4476" priority="5885" operator="containsText" text="$H$9">
      <formula>NOT(ISERROR(SEARCH($H$9,D452)))</formula>
      <formula>$H$9</formula>
    </cfRule>
    <cfRule type="containsText" dxfId="4475" priority="5884" operator="containsText" text="$H$10">
      <formula>NOT(ISERROR(SEARCH($H$10,D452)))</formula>
      <formula>$H$10</formula>
    </cfRule>
    <cfRule type="containsText" dxfId="4474" priority="5883" operator="containsText" text="$H$11">
      <formula>NOT(ISERROR(SEARCH($H$11,D452)))</formula>
      <formula>$H$11</formula>
    </cfRule>
    <cfRule type="containsText" dxfId="4473" priority="5882" operator="containsText" text="$H$12">
      <formula>NOT(ISERROR(SEARCH($H$12,D452)))</formula>
      <formula>$H$12</formula>
    </cfRule>
    <cfRule type="containsText" dxfId="4472" priority="5881" operator="containsText" text="$H$13">
      <formula>NOT(ISERROR(SEARCH($H$13,D452)))</formula>
      <formula>$H$13</formula>
    </cfRule>
  </conditionalFormatting>
  <conditionalFormatting sqref="E438">
    <cfRule type="containsText" dxfId="4471" priority="5880" operator="containsText" text="$H$7">
      <formula>NOT(ISERROR(SEARCH($H$7,E438)))</formula>
      <formula>$H$7</formula>
    </cfRule>
    <cfRule type="containsText" dxfId="4470" priority="5879" operator="containsText" text="$H$8">
      <formula>NOT(ISERROR(SEARCH($H$8,E438)))</formula>
      <formula>$H$8</formula>
    </cfRule>
    <cfRule type="containsText" dxfId="4469" priority="5878" operator="containsText" text="$H$8">
      <formula>NOT(ISERROR(SEARCH($H$8,E438)))</formula>
      <formula>$H$8</formula>
    </cfRule>
    <cfRule type="containsText" dxfId="4468" priority="5877" operator="containsText" text="$H$9">
      <formula>NOT(ISERROR(SEARCH($H$9,E438)))</formula>
      <formula>$H$9</formula>
    </cfRule>
    <cfRule type="containsText" dxfId="4467" priority="5876" operator="containsText" text="$H$10">
      <formula>NOT(ISERROR(SEARCH($H$10,E438)))</formula>
      <formula>$H$10</formula>
    </cfRule>
    <cfRule type="containsText" dxfId="4466" priority="5875" operator="containsText" text="$H$11">
      <formula>NOT(ISERROR(SEARCH($H$11,E438)))</formula>
      <formula>$H$11</formula>
    </cfRule>
    <cfRule type="containsText" dxfId="4465" priority="5874" operator="containsText" text="$H$12">
      <formula>NOT(ISERROR(SEARCH($H$12,E438)))</formula>
      <formula>$H$12</formula>
    </cfRule>
    <cfRule type="containsText" dxfId="4464" priority="5873" operator="containsText" text="$H$13">
      <formula>NOT(ISERROR(SEARCH($H$13,E438)))</formula>
      <formula>$H$13</formula>
    </cfRule>
  </conditionalFormatting>
  <conditionalFormatting sqref="E440">
    <cfRule type="containsText" dxfId="4463" priority="5872" operator="containsText" text="$H$7">
      <formula>NOT(ISERROR(SEARCH($H$7,E440)))</formula>
      <formula>$H$7</formula>
    </cfRule>
    <cfRule type="containsText" dxfId="4462" priority="5871" operator="containsText" text="$H$8">
      <formula>NOT(ISERROR(SEARCH($H$8,E440)))</formula>
      <formula>$H$8</formula>
    </cfRule>
    <cfRule type="containsText" dxfId="4461" priority="5870" operator="containsText" text="$H$8">
      <formula>NOT(ISERROR(SEARCH($H$8,E440)))</formula>
      <formula>$H$8</formula>
    </cfRule>
    <cfRule type="containsText" dxfId="4460" priority="5869" operator="containsText" text="$H$9">
      <formula>NOT(ISERROR(SEARCH($H$9,E440)))</formula>
      <formula>$H$9</formula>
    </cfRule>
    <cfRule type="containsText" dxfId="4459" priority="5868" operator="containsText" text="$H$10">
      <formula>NOT(ISERROR(SEARCH($H$10,E440)))</formula>
      <formula>$H$10</formula>
    </cfRule>
    <cfRule type="containsText" dxfId="4458" priority="5867" operator="containsText" text="$H$11">
      <formula>NOT(ISERROR(SEARCH($H$11,E440)))</formula>
      <formula>$H$11</formula>
    </cfRule>
    <cfRule type="containsText" dxfId="4457" priority="5866" operator="containsText" text="$H$12">
      <formula>NOT(ISERROR(SEARCH($H$12,E440)))</formula>
      <formula>$H$12</formula>
    </cfRule>
    <cfRule type="containsText" dxfId="4456" priority="5865" operator="containsText" text="$H$13">
      <formula>NOT(ISERROR(SEARCH($H$13,E440)))</formula>
      <formula>$H$13</formula>
    </cfRule>
  </conditionalFormatting>
  <conditionalFormatting sqref="E442">
    <cfRule type="containsText" dxfId="4455" priority="5864" operator="containsText" text="$H$7">
      <formula>NOT(ISERROR(SEARCH($H$7,E442)))</formula>
      <formula>$H$7</formula>
    </cfRule>
    <cfRule type="containsText" dxfId="4454" priority="5863" operator="containsText" text="$H$8">
      <formula>NOT(ISERROR(SEARCH($H$8,E442)))</formula>
      <formula>$H$8</formula>
    </cfRule>
    <cfRule type="containsText" dxfId="4453" priority="5862" operator="containsText" text="$H$8">
      <formula>NOT(ISERROR(SEARCH($H$8,E442)))</formula>
      <formula>$H$8</formula>
    </cfRule>
    <cfRule type="containsText" dxfId="4452" priority="5861" operator="containsText" text="$H$9">
      <formula>NOT(ISERROR(SEARCH($H$9,E442)))</formula>
      <formula>$H$9</formula>
    </cfRule>
    <cfRule type="containsText" dxfId="4451" priority="5860" operator="containsText" text="$H$10">
      <formula>NOT(ISERROR(SEARCH($H$10,E442)))</formula>
      <formula>$H$10</formula>
    </cfRule>
    <cfRule type="containsText" dxfId="4450" priority="5859" operator="containsText" text="$H$11">
      <formula>NOT(ISERROR(SEARCH($H$11,E442)))</formula>
      <formula>$H$11</formula>
    </cfRule>
    <cfRule type="containsText" dxfId="4449" priority="5858" operator="containsText" text="$H$12">
      <formula>NOT(ISERROR(SEARCH($H$12,E442)))</formula>
      <formula>$H$12</formula>
    </cfRule>
    <cfRule type="containsText" dxfId="4448" priority="5857" operator="containsText" text="$H$13">
      <formula>NOT(ISERROR(SEARCH($H$13,E442)))</formula>
      <formula>$H$13</formula>
    </cfRule>
  </conditionalFormatting>
  <conditionalFormatting sqref="E444">
    <cfRule type="containsText" dxfId="4447" priority="5856" operator="containsText" text="$H$7">
      <formula>NOT(ISERROR(SEARCH($H$7,E444)))</formula>
      <formula>$H$7</formula>
    </cfRule>
    <cfRule type="containsText" dxfId="4446" priority="5855" operator="containsText" text="$H$8">
      <formula>NOT(ISERROR(SEARCH($H$8,E444)))</formula>
      <formula>$H$8</formula>
    </cfRule>
    <cfRule type="containsText" dxfId="4445" priority="5854" operator="containsText" text="$H$8">
      <formula>NOT(ISERROR(SEARCH($H$8,E444)))</formula>
      <formula>$H$8</formula>
    </cfRule>
    <cfRule type="containsText" dxfId="4444" priority="5853" operator="containsText" text="$H$9">
      <formula>NOT(ISERROR(SEARCH($H$9,E444)))</formula>
      <formula>$H$9</formula>
    </cfRule>
    <cfRule type="containsText" dxfId="4443" priority="5852" operator="containsText" text="$H$10">
      <formula>NOT(ISERROR(SEARCH($H$10,E444)))</formula>
      <formula>$H$10</formula>
    </cfRule>
    <cfRule type="containsText" dxfId="4442" priority="5851" operator="containsText" text="$H$11">
      <formula>NOT(ISERROR(SEARCH($H$11,E444)))</formula>
      <formula>$H$11</formula>
    </cfRule>
    <cfRule type="containsText" dxfId="4441" priority="5850" operator="containsText" text="$H$12">
      <formula>NOT(ISERROR(SEARCH($H$12,E444)))</formula>
      <formula>$H$12</formula>
    </cfRule>
    <cfRule type="containsText" dxfId="4440" priority="5849" operator="containsText" text="$H$13">
      <formula>NOT(ISERROR(SEARCH($H$13,E444)))</formula>
      <formula>$H$13</formula>
    </cfRule>
  </conditionalFormatting>
  <conditionalFormatting sqref="E446">
    <cfRule type="containsText" dxfId="4439" priority="5848" operator="containsText" text="$H$7">
      <formula>NOT(ISERROR(SEARCH($H$7,E446)))</formula>
      <formula>$H$7</formula>
    </cfRule>
    <cfRule type="containsText" dxfId="4438" priority="5847" operator="containsText" text="$H$8">
      <formula>NOT(ISERROR(SEARCH($H$8,E446)))</formula>
      <formula>$H$8</formula>
    </cfRule>
    <cfRule type="containsText" dxfId="4437" priority="5846" operator="containsText" text="$H$8">
      <formula>NOT(ISERROR(SEARCH($H$8,E446)))</formula>
      <formula>$H$8</formula>
    </cfRule>
    <cfRule type="containsText" dxfId="4436" priority="5845" operator="containsText" text="$H$9">
      <formula>NOT(ISERROR(SEARCH($H$9,E446)))</formula>
      <formula>$H$9</formula>
    </cfRule>
    <cfRule type="containsText" dxfId="4435" priority="5844" operator="containsText" text="$H$10">
      <formula>NOT(ISERROR(SEARCH($H$10,E446)))</formula>
      <formula>$H$10</formula>
    </cfRule>
    <cfRule type="containsText" dxfId="4434" priority="5843" operator="containsText" text="$H$11">
      <formula>NOT(ISERROR(SEARCH($H$11,E446)))</formula>
      <formula>$H$11</formula>
    </cfRule>
    <cfRule type="containsText" dxfId="4433" priority="5842" operator="containsText" text="$H$12">
      <formula>NOT(ISERROR(SEARCH($H$12,E446)))</formula>
      <formula>$H$12</formula>
    </cfRule>
    <cfRule type="containsText" dxfId="4432" priority="5841" operator="containsText" text="$H$13">
      <formula>NOT(ISERROR(SEARCH($H$13,E446)))</formula>
      <formula>$H$13</formula>
    </cfRule>
  </conditionalFormatting>
  <conditionalFormatting sqref="E448">
    <cfRule type="containsText" dxfId="4431" priority="5840" operator="containsText" text="$H$7">
      <formula>NOT(ISERROR(SEARCH($H$7,E448)))</formula>
      <formula>$H$7</formula>
    </cfRule>
    <cfRule type="containsText" dxfId="4430" priority="5839" operator="containsText" text="$H$8">
      <formula>NOT(ISERROR(SEARCH($H$8,E448)))</formula>
      <formula>$H$8</formula>
    </cfRule>
    <cfRule type="containsText" dxfId="4429" priority="5838" operator="containsText" text="$H$8">
      <formula>NOT(ISERROR(SEARCH($H$8,E448)))</formula>
      <formula>$H$8</formula>
    </cfRule>
    <cfRule type="containsText" dxfId="4428" priority="5837" operator="containsText" text="$H$9">
      <formula>NOT(ISERROR(SEARCH($H$9,E448)))</formula>
      <formula>$H$9</formula>
    </cfRule>
    <cfRule type="containsText" dxfId="4427" priority="5836" operator="containsText" text="$H$10">
      <formula>NOT(ISERROR(SEARCH($H$10,E448)))</formula>
      <formula>$H$10</formula>
    </cfRule>
    <cfRule type="containsText" dxfId="4426" priority="5835" operator="containsText" text="$H$11">
      <formula>NOT(ISERROR(SEARCH($H$11,E448)))</formula>
      <formula>$H$11</formula>
    </cfRule>
    <cfRule type="containsText" dxfId="4425" priority="5834" operator="containsText" text="$H$12">
      <formula>NOT(ISERROR(SEARCH($H$12,E448)))</formula>
      <formula>$H$12</formula>
    </cfRule>
    <cfRule type="containsText" dxfId="4424" priority="5833" operator="containsText" text="$H$13">
      <formula>NOT(ISERROR(SEARCH($H$13,E448)))</formula>
      <formula>$H$13</formula>
    </cfRule>
  </conditionalFormatting>
  <conditionalFormatting sqref="E450">
    <cfRule type="containsText" dxfId="4423" priority="5832" operator="containsText" text="$H$7">
      <formula>NOT(ISERROR(SEARCH($H$7,E450)))</formula>
      <formula>$H$7</formula>
    </cfRule>
    <cfRule type="containsText" dxfId="4422" priority="5831" operator="containsText" text="$H$8">
      <formula>NOT(ISERROR(SEARCH($H$8,E450)))</formula>
      <formula>$H$8</formula>
    </cfRule>
    <cfRule type="containsText" dxfId="4421" priority="5830" operator="containsText" text="$H$8">
      <formula>NOT(ISERROR(SEARCH($H$8,E450)))</formula>
      <formula>$H$8</formula>
    </cfRule>
    <cfRule type="containsText" dxfId="4420" priority="5829" operator="containsText" text="$H$9">
      <formula>NOT(ISERROR(SEARCH($H$9,E450)))</formula>
      <formula>$H$9</formula>
    </cfRule>
    <cfRule type="containsText" dxfId="4419" priority="5828" operator="containsText" text="$H$10">
      <formula>NOT(ISERROR(SEARCH($H$10,E450)))</formula>
      <formula>$H$10</formula>
    </cfRule>
    <cfRule type="containsText" dxfId="4418" priority="5827" operator="containsText" text="$H$11">
      <formula>NOT(ISERROR(SEARCH($H$11,E450)))</formula>
      <formula>$H$11</formula>
    </cfRule>
    <cfRule type="containsText" dxfId="4417" priority="5826" operator="containsText" text="$H$12">
      <formula>NOT(ISERROR(SEARCH($H$12,E450)))</formula>
      <formula>$H$12</formula>
    </cfRule>
    <cfRule type="containsText" dxfId="4416" priority="5825" operator="containsText" text="$H$13">
      <formula>NOT(ISERROR(SEARCH($H$13,E450)))</formula>
      <formula>$H$13</formula>
    </cfRule>
  </conditionalFormatting>
  <conditionalFormatting sqref="E452">
    <cfRule type="containsText" dxfId="4415" priority="5824" operator="containsText" text="$H$7">
      <formula>NOT(ISERROR(SEARCH($H$7,E452)))</formula>
      <formula>$H$7</formula>
    </cfRule>
    <cfRule type="containsText" dxfId="4414" priority="5823" operator="containsText" text="$H$8">
      <formula>NOT(ISERROR(SEARCH($H$8,E452)))</formula>
      <formula>$H$8</formula>
    </cfRule>
    <cfRule type="containsText" dxfId="4413" priority="5822" operator="containsText" text="$H$8">
      <formula>NOT(ISERROR(SEARCH($H$8,E452)))</formula>
      <formula>$H$8</formula>
    </cfRule>
    <cfRule type="containsText" dxfId="4412" priority="5821" operator="containsText" text="$H$9">
      <formula>NOT(ISERROR(SEARCH($H$9,E452)))</formula>
      <formula>$H$9</formula>
    </cfRule>
    <cfRule type="containsText" dxfId="4411" priority="5820" operator="containsText" text="$H$10">
      <formula>NOT(ISERROR(SEARCH($H$10,E452)))</formula>
      <formula>$H$10</formula>
    </cfRule>
    <cfRule type="containsText" dxfId="4410" priority="5819" operator="containsText" text="$H$11">
      <formula>NOT(ISERROR(SEARCH($H$11,E452)))</formula>
      <formula>$H$11</formula>
    </cfRule>
    <cfRule type="containsText" dxfId="4409" priority="5818" operator="containsText" text="$H$12">
      <formula>NOT(ISERROR(SEARCH($H$12,E452)))</formula>
      <formula>$H$12</formula>
    </cfRule>
    <cfRule type="containsText" dxfId="4408" priority="5817" operator="containsText" text="$H$13">
      <formula>NOT(ISERROR(SEARCH($H$13,E452)))</formula>
      <formula>$H$13</formula>
    </cfRule>
  </conditionalFormatting>
  <conditionalFormatting sqref="F438:F439">
    <cfRule type="containsText" dxfId="4407" priority="5816" operator="containsText" text="$H$7">
      <formula>NOT(ISERROR(SEARCH($H$7,F438)))</formula>
      <formula>$H$7</formula>
    </cfRule>
    <cfRule type="containsText" dxfId="4406" priority="5815" operator="containsText" text="$H$8">
      <formula>NOT(ISERROR(SEARCH($H$8,F438)))</formula>
      <formula>$H$8</formula>
    </cfRule>
    <cfRule type="containsText" dxfId="4405" priority="5814" operator="containsText" text="$H$8">
      <formula>NOT(ISERROR(SEARCH($H$8,F438)))</formula>
      <formula>$H$8</formula>
    </cfRule>
    <cfRule type="containsText" dxfId="4404" priority="5813" operator="containsText" text="$H$9">
      <formula>NOT(ISERROR(SEARCH($H$9,F438)))</formula>
      <formula>$H$9</formula>
    </cfRule>
    <cfRule type="containsText" dxfId="4403" priority="5812" operator="containsText" text="$H$10">
      <formula>NOT(ISERROR(SEARCH($H$10,F438)))</formula>
      <formula>$H$10</formula>
    </cfRule>
    <cfRule type="containsText" dxfId="4402" priority="5811" operator="containsText" text="$H$11">
      <formula>NOT(ISERROR(SEARCH($H$11,F438)))</formula>
      <formula>$H$11</formula>
    </cfRule>
    <cfRule type="containsText" dxfId="4401" priority="5810" operator="containsText" text="$H$12">
      <formula>NOT(ISERROR(SEARCH($H$12,F438)))</formula>
      <formula>$H$12</formula>
    </cfRule>
    <cfRule type="containsText" dxfId="4400" priority="5809" operator="containsText" text="$H$13">
      <formula>NOT(ISERROR(SEARCH($H$13,F438)))</formula>
      <formula>$H$13</formula>
    </cfRule>
  </conditionalFormatting>
  <conditionalFormatting sqref="F440:F441">
    <cfRule type="containsText" dxfId="4399" priority="5808" operator="containsText" text="$H$7">
      <formula>NOT(ISERROR(SEARCH($H$7,F440)))</formula>
      <formula>$H$7</formula>
    </cfRule>
    <cfRule type="containsText" dxfId="4398" priority="5807" operator="containsText" text="$H$8">
      <formula>NOT(ISERROR(SEARCH($H$8,F440)))</formula>
      <formula>$H$8</formula>
    </cfRule>
    <cfRule type="containsText" dxfId="4397" priority="5806" operator="containsText" text="$H$8">
      <formula>NOT(ISERROR(SEARCH($H$8,F440)))</formula>
      <formula>$H$8</formula>
    </cfRule>
    <cfRule type="containsText" dxfId="4396" priority="5805" operator="containsText" text="$H$9">
      <formula>NOT(ISERROR(SEARCH($H$9,F440)))</formula>
      <formula>$H$9</formula>
    </cfRule>
    <cfRule type="containsText" dxfId="4395" priority="5804" operator="containsText" text="$H$10">
      <formula>NOT(ISERROR(SEARCH($H$10,F440)))</formula>
      <formula>$H$10</formula>
    </cfRule>
    <cfRule type="containsText" dxfId="4394" priority="5803" operator="containsText" text="$H$11">
      <formula>NOT(ISERROR(SEARCH($H$11,F440)))</formula>
      <formula>$H$11</formula>
    </cfRule>
    <cfRule type="containsText" dxfId="4393" priority="5802" operator="containsText" text="$H$12">
      <formula>NOT(ISERROR(SEARCH($H$12,F440)))</formula>
      <formula>$H$12</formula>
    </cfRule>
    <cfRule type="containsText" dxfId="4392" priority="5801" operator="containsText" text="$H$13">
      <formula>NOT(ISERROR(SEARCH($H$13,F440)))</formula>
      <formula>$H$13</formula>
    </cfRule>
  </conditionalFormatting>
  <conditionalFormatting sqref="F442:F443">
    <cfRule type="containsText" dxfId="4391" priority="5800" operator="containsText" text="$H$7">
      <formula>NOT(ISERROR(SEARCH($H$7,F442)))</formula>
      <formula>$H$7</formula>
    </cfRule>
    <cfRule type="containsText" dxfId="4390" priority="5799" operator="containsText" text="$H$8">
      <formula>NOT(ISERROR(SEARCH($H$8,F442)))</formula>
      <formula>$H$8</formula>
    </cfRule>
    <cfRule type="containsText" dxfId="4389" priority="5798" operator="containsText" text="$H$8">
      <formula>NOT(ISERROR(SEARCH($H$8,F442)))</formula>
      <formula>$H$8</formula>
    </cfRule>
    <cfRule type="containsText" dxfId="4388" priority="5797" operator="containsText" text="$H$9">
      <formula>NOT(ISERROR(SEARCH($H$9,F442)))</formula>
      <formula>$H$9</formula>
    </cfRule>
    <cfRule type="containsText" dxfId="4387" priority="5796" operator="containsText" text="$H$10">
      <formula>NOT(ISERROR(SEARCH($H$10,F442)))</formula>
      <formula>$H$10</formula>
    </cfRule>
    <cfRule type="containsText" dxfId="4386" priority="5795" operator="containsText" text="$H$11">
      <formula>NOT(ISERROR(SEARCH($H$11,F442)))</formula>
      <formula>$H$11</formula>
    </cfRule>
    <cfRule type="containsText" dxfId="4385" priority="5794" operator="containsText" text="$H$12">
      <formula>NOT(ISERROR(SEARCH($H$12,F442)))</formula>
      <formula>$H$12</formula>
    </cfRule>
    <cfRule type="containsText" dxfId="4384" priority="5793" operator="containsText" text="$H$13">
      <formula>NOT(ISERROR(SEARCH($H$13,F442)))</formula>
      <formula>$H$13</formula>
    </cfRule>
  </conditionalFormatting>
  <conditionalFormatting sqref="F444:F445">
    <cfRule type="containsText" dxfId="4383" priority="5792" operator="containsText" text="$H$7">
      <formula>NOT(ISERROR(SEARCH($H$7,F444)))</formula>
      <formula>$H$7</formula>
    </cfRule>
    <cfRule type="containsText" dxfId="4382" priority="5791" operator="containsText" text="$H$8">
      <formula>NOT(ISERROR(SEARCH($H$8,F444)))</formula>
      <formula>$H$8</formula>
    </cfRule>
    <cfRule type="containsText" dxfId="4381" priority="5790" operator="containsText" text="$H$8">
      <formula>NOT(ISERROR(SEARCH($H$8,F444)))</formula>
      <formula>$H$8</formula>
    </cfRule>
    <cfRule type="containsText" dxfId="4380" priority="5789" operator="containsText" text="$H$9">
      <formula>NOT(ISERROR(SEARCH($H$9,F444)))</formula>
      <formula>$H$9</formula>
    </cfRule>
    <cfRule type="containsText" dxfId="4379" priority="5788" operator="containsText" text="$H$10">
      <formula>NOT(ISERROR(SEARCH($H$10,F444)))</formula>
      <formula>$H$10</formula>
    </cfRule>
    <cfRule type="containsText" dxfId="4378" priority="5787" operator="containsText" text="$H$11">
      <formula>NOT(ISERROR(SEARCH($H$11,F444)))</formula>
      <formula>$H$11</formula>
    </cfRule>
    <cfRule type="containsText" dxfId="4377" priority="5786" operator="containsText" text="$H$12">
      <formula>NOT(ISERROR(SEARCH($H$12,F444)))</formula>
      <formula>$H$12</formula>
    </cfRule>
    <cfRule type="containsText" dxfId="4376" priority="5785" operator="containsText" text="$H$13">
      <formula>NOT(ISERROR(SEARCH($H$13,F444)))</formula>
      <formula>$H$13</formula>
    </cfRule>
  </conditionalFormatting>
  <conditionalFormatting sqref="F446">
    <cfRule type="containsText" dxfId="4375" priority="5784" operator="containsText" text="$H$7">
      <formula>NOT(ISERROR(SEARCH($H$7,F446)))</formula>
      <formula>$H$7</formula>
    </cfRule>
    <cfRule type="containsText" dxfId="4374" priority="5783" operator="containsText" text="$H$8">
      <formula>NOT(ISERROR(SEARCH($H$8,F446)))</formula>
      <formula>$H$8</formula>
    </cfRule>
    <cfRule type="containsText" dxfId="4373" priority="5782" operator="containsText" text="$H$8">
      <formula>NOT(ISERROR(SEARCH($H$8,F446)))</formula>
      <formula>$H$8</formula>
    </cfRule>
    <cfRule type="containsText" dxfId="4372" priority="5781" operator="containsText" text="$H$9">
      <formula>NOT(ISERROR(SEARCH($H$9,F446)))</formula>
      <formula>$H$9</formula>
    </cfRule>
    <cfRule type="containsText" dxfId="4371" priority="5780" operator="containsText" text="$H$10">
      <formula>NOT(ISERROR(SEARCH($H$10,F446)))</formula>
      <formula>$H$10</formula>
    </cfRule>
    <cfRule type="containsText" dxfId="4370" priority="5779" operator="containsText" text="$H$11">
      <formula>NOT(ISERROR(SEARCH($H$11,F446)))</formula>
      <formula>$H$11</formula>
    </cfRule>
    <cfRule type="containsText" dxfId="4369" priority="5778" operator="containsText" text="$H$12">
      <formula>NOT(ISERROR(SEARCH($H$12,F446)))</formula>
      <formula>$H$12</formula>
    </cfRule>
    <cfRule type="containsText" dxfId="4368" priority="5777" operator="containsText" text="$H$13">
      <formula>NOT(ISERROR(SEARCH($H$13,F446)))</formula>
      <formula>$H$13</formula>
    </cfRule>
  </conditionalFormatting>
  <conditionalFormatting sqref="F448">
    <cfRule type="containsText" dxfId="4367" priority="5776" operator="containsText" text="$H$7">
      <formula>NOT(ISERROR(SEARCH($H$7,F448)))</formula>
      <formula>$H$7</formula>
    </cfRule>
    <cfRule type="containsText" dxfId="4366" priority="5775" operator="containsText" text="$H$8">
      <formula>NOT(ISERROR(SEARCH($H$8,F448)))</formula>
      <formula>$H$8</formula>
    </cfRule>
    <cfRule type="containsText" dxfId="4365" priority="5774" operator="containsText" text="$H$8">
      <formula>NOT(ISERROR(SEARCH($H$8,F448)))</formula>
      <formula>$H$8</formula>
    </cfRule>
    <cfRule type="containsText" dxfId="4364" priority="5773" operator="containsText" text="$H$9">
      <formula>NOT(ISERROR(SEARCH($H$9,F448)))</formula>
      <formula>$H$9</formula>
    </cfRule>
    <cfRule type="containsText" dxfId="4363" priority="5772" operator="containsText" text="$H$10">
      <formula>NOT(ISERROR(SEARCH($H$10,F448)))</formula>
      <formula>$H$10</formula>
    </cfRule>
    <cfRule type="containsText" dxfId="4362" priority="5771" operator="containsText" text="$H$11">
      <formula>NOT(ISERROR(SEARCH($H$11,F448)))</formula>
      <formula>$H$11</formula>
    </cfRule>
    <cfRule type="containsText" dxfId="4361" priority="5770" operator="containsText" text="$H$12">
      <formula>NOT(ISERROR(SEARCH($H$12,F448)))</formula>
      <formula>$H$12</formula>
    </cfRule>
    <cfRule type="containsText" dxfId="4360" priority="5769" operator="containsText" text="$H$13">
      <formula>NOT(ISERROR(SEARCH($H$13,F448)))</formula>
      <formula>$H$13</formula>
    </cfRule>
  </conditionalFormatting>
  <conditionalFormatting sqref="B339">
    <cfRule type="containsText" dxfId="4359" priority="5768" operator="containsText" text="$H$7">
      <formula>NOT(ISERROR(SEARCH($H$7,B339)))</formula>
      <formula>$H$7</formula>
    </cfRule>
    <cfRule type="containsText" dxfId="4358" priority="5767" operator="containsText" text="$H$8">
      <formula>NOT(ISERROR(SEARCH($H$8,B339)))</formula>
      <formula>$H$8</formula>
    </cfRule>
    <cfRule type="containsText" dxfId="4357" priority="5766" operator="containsText" text="$H$8">
      <formula>NOT(ISERROR(SEARCH($H$8,B339)))</formula>
      <formula>$H$8</formula>
    </cfRule>
    <cfRule type="containsText" dxfId="4356" priority="5765" operator="containsText" text="$H$9">
      <formula>NOT(ISERROR(SEARCH($H$9,B339)))</formula>
      <formula>$H$9</formula>
    </cfRule>
    <cfRule type="containsText" dxfId="4355" priority="5764" operator="containsText" text="$H$10">
      <formula>NOT(ISERROR(SEARCH($H$10,B339)))</formula>
      <formula>$H$10</formula>
    </cfRule>
    <cfRule type="containsText" dxfId="4354" priority="5763" operator="containsText" text="$H$11">
      <formula>NOT(ISERROR(SEARCH($H$11,B339)))</formula>
      <formula>$H$11</formula>
    </cfRule>
    <cfRule type="containsText" dxfId="4353" priority="5762" operator="containsText" text="$H$12">
      <formula>NOT(ISERROR(SEARCH($H$12,B339)))</formula>
      <formula>$H$12</formula>
    </cfRule>
    <cfRule type="containsText" dxfId="4352" priority="5761" operator="containsText" text="$H$13">
      <formula>NOT(ISERROR(SEARCH($H$13,B339)))</formula>
      <formula>$H$13</formula>
    </cfRule>
  </conditionalFormatting>
  <conditionalFormatting sqref="B341">
    <cfRule type="containsText" dxfId="4351" priority="5760" operator="containsText" text="$H$7">
      <formula>NOT(ISERROR(SEARCH($H$7,B341)))</formula>
      <formula>$H$7</formula>
    </cfRule>
    <cfRule type="containsText" dxfId="4350" priority="5759" operator="containsText" text="$H$8">
      <formula>NOT(ISERROR(SEARCH($H$8,B341)))</formula>
      <formula>$H$8</formula>
    </cfRule>
    <cfRule type="containsText" dxfId="4349" priority="5758" operator="containsText" text="$H$8">
      <formula>NOT(ISERROR(SEARCH($H$8,B341)))</formula>
      <formula>$H$8</formula>
    </cfRule>
    <cfRule type="containsText" dxfId="4348" priority="5757" operator="containsText" text="$H$9">
      <formula>NOT(ISERROR(SEARCH($H$9,B341)))</formula>
      <formula>$H$9</formula>
    </cfRule>
    <cfRule type="containsText" dxfId="4347" priority="5756" operator="containsText" text="$H$10">
      <formula>NOT(ISERROR(SEARCH($H$10,B341)))</formula>
      <formula>$H$10</formula>
    </cfRule>
    <cfRule type="containsText" dxfId="4346" priority="5755" operator="containsText" text="$H$11">
      <formula>NOT(ISERROR(SEARCH($H$11,B341)))</formula>
      <formula>$H$11</formula>
    </cfRule>
    <cfRule type="containsText" dxfId="4345" priority="5754" operator="containsText" text="$H$12">
      <formula>NOT(ISERROR(SEARCH($H$12,B341)))</formula>
      <formula>$H$12</formula>
    </cfRule>
    <cfRule type="containsText" dxfId="4344" priority="5753" operator="containsText" text="$H$13">
      <formula>NOT(ISERROR(SEARCH($H$13,B341)))</formula>
      <formula>$H$13</formula>
    </cfRule>
  </conditionalFormatting>
  <conditionalFormatting sqref="B343">
    <cfRule type="containsText" dxfId="4343" priority="5752" operator="containsText" text="$H$7">
      <formula>NOT(ISERROR(SEARCH($H$7,B343)))</formula>
      <formula>$H$7</formula>
    </cfRule>
    <cfRule type="containsText" dxfId="4342" priority="5751" operator="containsText" text="$H$8">
      <formula>NOT(ISERROR(SEARCH($H$8,B343)))</formula>
      <formula>$H$8</formula>
    </cfRule>
    <cfRule type="containsText" dxfId="4341" priority="5750" operator="containsText" text="$H$8">
      <formula>NOT(ISERROR(SEARCH($H$8,B343)))</formula>
      <formula>$H$8</formula>
    </cfRule>
    <cfRule type="containsText" dxfId="4340" priority="5749" operator="containsText" text="$H$9">
      <formula>NOT(ISERROR(SEARCH($H$9,B343)))</formula>
      <formula>$H$9</formula>
    </cfRule>
    <cfRule type="containsText" dxfId="4339" priority="5748" operator="containsText" text="$H$10">
      <formula>NOT(ISERROR(SEARCH($H$10,B343)))</formula>
      <formula>$H$10</formula>
    </cfRule>
    <cfRule type="containsText" dxfId="4338" priority="5747" operator="containsText" text="$H$11">
      <formula>NOT(ISERROR(SEARCH($H$11,B343)))</formula>
      <formula>$H$11</formula>
    </cfRule>
    <cfRule type="containsText" dxfId="4337" priority="5746" operator="containsText" text="$H$12">
      <formula>NOT(ISERROR(SEARCH($H$12,B343)))</formula>
      <formula>$H$12</formula>
    </cfRule>
    <cfRule type="containsText" dxfId="4336" priority="5745" operator="containsText" text="$H$13">
      <formula>NOT(ISERROR(SEARCH($H$13,B343)))</formula>
      <formula>$H$13</formula>
    </cfRule>
  </conditionalFormatting>
  <conditionalFormatting sqref="B345">
    <cfRule type="containsText" dxfId="4335" priority="5744" operator="containsText" text="$H$7">
      <formula>NOT(ISERROR(SEARCH($H$7,B345)))</formula>
      <formula>$H$7</formula>
    </cfRule>
    <cfRule type="containsText" dxfId="4334" priority="5743" operator="containsText" text="$H$8">
      <formula>NOT(ISERROR(SEARCH($H$8,B345)))</formula>
      <formula>$H$8</formula>
    </cfRule>
    <cfRule type="containsText" dxfId="4333" priority="5742" operator="containsText" text="$H$8">
      <formula>NOT(ISERROR(SEARCH($H$8,B345)))</formula>
      <formula>$H$8</formula>
    </cfRule>
    <cfRule type="containsText" dxfId="4332" priority="5741" operator="containsText" text="$H$9">
      <formula>NOT(ISERROR(SEARCH($H$9,B345)))</formula>
      <formula>$H$9</formula>
    </cfRule>
    <cfRule type="containsText" dxfId="4331" priority="5740" operator="containsText" text="$H$10">
      <formula>NOT(ISERROR(SEARCH($H$10,B345)))</formula>
      <formula>$H$10</formula>
    </cfRule>
    <cfRule type="containsText" dxfId="4330" priority="5739" operator="containsText" text="$H$11">
      <formula>NOT(ISERROR(SEARCH($H$11,B345)))</formula>
      <formula>$H$11</formula>
    </cfRule>
    <cfRule type="containsText" dxfId="4329" priority="5738" operator="containsText" text="$H$12">
      <formula>NOT(ISERROR(SEARCH($H$12,B345)))</formula>
      <formula>$H$12</formula>
    </cfRule>
    <cfRule type="containsText" dxfId="4328" priority="5737" operator="containsText" text="$H$13">
      <formula>NOT(ISERROR(SEARCH($H$13,B345)))</formula>
      <formula>$H$13</formula>
    </cfRule>
  </conditionalFormatting>
  <conditionalFormatting sqref="B349">
    <cfRule type="containsText" dxfId="4327" priority="5736" operator="containsText" text="$H$7">
      <formula>NOT(ISERROR(SEARCH($H$7,B349)))</formula>
      <formula>$H$7</formula>
    </cfRule>
    <cfRule type="containsText" dxfId="4326" priority="5735" operator="containsText" text="$H$8">
      <formula>NOT(ISERROR(SEARCH($H$8,B349)))</formula>
      <formula>$H$8</formula>
    </cfRule>
    <cfRule type="containsText" dxfId="4325" priority="5734" operator="containsText" text="$H$8">
      <formula>NOT(ISERROR(SEARCH($H$8,B349)))</formula>
      <formula>$H$8</formula>
    </cfRule>
    <cfRule type="containsText" dxfId="4324" priority="5733" operator="containsText" text="$H$9">
      <formula>NOT(ISERROR(SEARCH($H$9,B349)))</formula>
      <formula>$H$9</formula>
    </cfRule>
    <cfRule type="containsText" dxfId="4323" priority="5732" operator="containsText" text="$H$10">
      <formula>NOT(ISERROR(SEARCH($H$10,B349)))</formula>
      <formula>$H$10</formula>
    </cfRule>
    <cfRule type="containsText" dxfId="4322" priority="5731" operator="containsText" text="$H$11">
      <formula>NOT(ISERROR(SEARCH($H$11,B349)))</formula>
      <formula>$H$11</formula>
    </cfRule>
    <cfRule type="containsText" dxfId="4321" priority="5730" operator="containsText" text="$H$12">
      <formula>NOT(ISERROR(SEARCH($H$12,B349)))</formula>
      <formula>$H$12</formula>
    </cfRule>
    <cfRule type="containsText" dxfId="4320" priority="5729" operator="containsText" text="$H$13">
      <formula>NOT(ISERROR(SEARCH($H$13,B349)))</formula>
      <formula>$H$13</formula>
    </cfRule>
  </conditionalFormatting>
  <conditionalFormatting sqref="B351">
    <cfRule type="containsText" dxfId="4319" priority="5728" operator="containsText" text="$H$7">
      <formula>NOT(ISERROR(SEARCH($H$7,B351)))</formula>
      <formula>$H$7</formula>
    </cfRule>
    <cfRule type="containsText" dxfId="4318" priority="5727" operator="containsText" text="$H$8">
      <formula>NOT(ISERROR(SEARCH($H$8,B351)))</formula>
      <formula>$H$8</formula>
    </cfRule>
    <cfRule type="containsText" dxfId="4317" priority="5726" operator="containsText" text="$H$8">
      <formula>NOT(ISERROR(SEARCH($H$8,B351)))</formula>
      <formula>$H$8</formula>
    </cfRule>
    <cfRule type="containsText" dxfId="4316" priority="5725" operator="containsText" text="$H$9">
      <formula>NOT(ISERROR(SEARCH($H$9,B351)))</formula>
      <formula>$H$9</formula>
    </cfRule>
    <cfRule type="containsText" dxfId="4315" priority="5724" operator="containsText" text="$H$10">
      <formula>NOT(ISERROR(SEARCH($H$10,B351)))</formula>
      <formula>$H$10</formula>
    </cfRule>
    <cfRule type="containsText" dxfId="4314" priority="5723" operator="containsText" text="$H$11">
      <formula>NOT(ISERROR(SEARCH($H$11,B351)))</formula>
      <formula>$H$11</formula>
    </cfRule>
    <cfRule type="containsText" dxfId="4313" priority="5722" operator="containsText" text="$H$12">
      <formula>NOT(ISERROR(SEARCH($H$12,B351)))</formula>
      <formula>$H$12</formula>
    </cfRule>
    <cfRule type="containsText" dxfId="4312" priority="5721" operator="containsText" text="$H$13">
      <formula>NOT(ISERROR(SEARCH($H$13,B351)))</formula>
      <formula>$H$13</formula>
    </cfRule>
  </conditionalFormatting>
  <conditionalFormatting sqref="B353">
    <cfRule type="containsText" dxfId="4311" priority="5720" operator="containsText" text="$H$7">
      <formula>NOT(ISERROR(SEARCH($H$7,B353)))</formula>
      <formula>$H$7</formula>
    </cfRule>
    <cfRule type="containsText" dxfId="4310" priority="5719" operator="containsText" text="$H$8">
      <formula>NOT(ISERROR(SEARCH($H$8,B353)))</formula>
      <formula>$H$8</formula>
    </cfRule>
    <cfRule type="containsText" dxfId="4309" priority="5718" operator="containsText" text="$H$8">
      <formula>NOT(ISERROR(SEARCH($H$8,B353)))</formula>
      <formula>$H$8</formula>
    </cfRule>
    <cfRule type="containsText" dxfId="4308" priority="5717" operator="containsText" text="$H$9">
      <formula>NOT(ISERROR(SEARCH($H$9,B353)))</formula>
      <formula>$H$9</formula>
    </cfRule>
    <cfRule type="containsText" dxfId="4307" priority="5716" operator="containsText" text="$H$10">
      <formula>NOT(ISERROR(SEARCH($H$10,B353)))</formula>
      <formula>$H$10</formula>
    </cfRule>
    <cfRule type="containsText" dxfId="4306" priority="5715" operator="containsText" text="$H$11">
      <formula>NOT(ISERROR(SEARCH($H$11,B353)))</formula>
      <formula>$H$11</formula>
    </cfRule>
    <cfRule type="containsText" dxfId="4305" priority="5714" operator="containsText" text="$H$12">
      <formula>NOT(ISERROR(SEARCH($H$12,B353)))</formula>
      <formula>$H$12</formula>
    </cfRule>
    <cfRule type="containsText" dxfId="4304" priority="5713" operator="containsText" text="$H$13">
      <formula>NOT(ISERROR(SEARCH($H$13,B353)))</formula>
      <formula>$H$13</formula>
    </cfRule>
  </conditionalFormatting>
  <conditionalFormatting sqref="B355">
    <cfRule type="containsText" dxfId="4303" priority="5712" operator="containsText" text="$H$7">
      <formula>NOT(ISERROR(SEARCH($H$7,B355)))</formula>
      <formula>$H$7</formula>
    </cfRule>
    <cfRule type="containsText" dxfId="4302" priority="5711" operator="containsText" text="$H$8">
      <formula>NOT(ISERROR(SEARCH($H$8,B355)))</formula>
      <formula>$H$8</formula>
    </cfRule>
    <cfRule type="containsText" dxfId="4301" priority="5710" operator="containsText" text="$H$8">
      <formula>NOT(ISERROR(SEARCH($H$8,B355)))</formula>
      <formula>$H$8</formula>
    </cfRule>
    <cfRule type="containsText" dxfId="4300" priority="5709" operator="containsText" text="$H$9">
      <formula>NOT(ISERROR(SEARCH($H$9,B355)))</formula>
      <formula>$H$9</formula>
    </cfRule>
    <cfRule type="containsText" dxfId="4299" priority="5708" operator="containsText" text="$H$10">
      <formula>NOT(ISERROR(SEARCH($H$10,B355)))</formula>
      <formula>$H$10</formula>
    </cfRule>
    <cfRule type="containsText" dxfId="4298" priority="5707" operator="containsText" text="$H$11">
      <formula>NOT(ISERROR(SEARCH($H$11,B355)))</formula>
      <formula>$H$11</formula>
    </cfRule>
    <cfRule type="containsText" dxfId="4297" priority="5706" operator="containsText" text="$H$12">
      <formula>NOT(ISERROR(SEARCH($H$12,B355)))</formula>
      <formula>$H$12</formula>
    </cfRule>
    <cfRule type="containsText" dxfId="4296" priority="5705" operator="containsText" text="$H$13">
      <formula>NOT(ISERROR(SEARCH($H$13,B355)))</formula>
      <formula>$H$13</formula>
    </cfRule>
  </conditionalFormatting>
  <conditionalFormatting sqref="D357">
    <cfRule type="containsText" dxfId="4295" priority="5704" operator="containsText" text="$H$7">
      <formula>NOT(ISERROR(SEARCH($H$7,D357)))</formula>
      <formula>$H$7</formula>
    </cfRule>
    <cfRule type="containsText" dxfId="4294" priority="5703" operator="containsText" text="$H$8">
      <formula>NOT(ISERROR(SEARCH($H$8,D357)))</formula>
      <formula>$H$8</formula>
    </cfRule>
    <cfRule type="containsText" dxfId="4293" priority="5702" operator="containsText" text="$H$8">
      <formula>NOT(ISERROR(SEARCH($H$8,D357)))</formula>
      <formula>$H$8</formula>
    </cfRule>
    <cfRule type="containsText" dxfId="4292" priority="5701" operator="containsText" text="$H$9">
      <formula>NOT(ISERROR(SEARCH($H$9,D357)))</formula>
      <formula>$H$9</formula>
    </cfRule>
    <cfRule type="containsText" dxfId="4291" priority="5700" operator="containsText" text="$H$10">
      <formula>NOT(ISERROR(SEARCH($H$10,D357)))</formula>
      <formula>$H$10</formula>
    </cfRule>
    <cfRule type="containsText" dxfId="4290" priority="5699" operator="containsText" text="$H$11">
      <formula>NOT(ISERROR(SEARCH($H$11,D357)))</formula>
      <formula>$H$11</formula>
    </cfRule>
    <cfRule type="containsText" dxfId="4289" priority="5698" operator="containsText" text="$H$12">
      <formula>NOT(ISERROR(SEARCH($H$12,D357)))</formula>
      <formula>$H$12</formula>
    </cfRule>
    <cfRule type="containsText" dxfId="4288" priority="5697" operator="containsText" text="$H$13">
      <formula>NOT(ISERROR(SEARCH($H$13,D357)))</formula>
      <formula>$H$13</formula>
    </cfRule>
  </conditionalFormatting>
  <conditionalFormatting sqref="D359">
    <cfRule type="containsText" dxfId="4287" priority="5696" operator="containsText" text="$H$7">
      <formula>NOT(ISERROR(SEARCH($H$7,D359)))</formula>
      <formula>$H$7</formula>
    </cfRule>
    <cfRule type="containsText" dxfId="4286" priority="5695" operator="containsText" text="$H$8">
      <formula>NOT(ISERROR(SEARCH($H$8,D359)))</formula>
      <formula>$H$8</formula>
    </cfRule>
    <cfRule type="containsText" dxfId="4285" priority="5694" operator="containsText" text="$H$8">
      <formula>NOT(ISERROR(SEARCH($H$8,D359)))</formula>
      <formula>$H$8</formula>
    </cfRule>
    <cfRule type="containsText" dxfId="4284" priority="5693" operator="containsText" text="$H$9">
      <formula>NOT(ISERROR(SEARCH($H$9,D359)))</formula>
      <formula>$H$9</formula>
    </cfRule>
    <cfRule type="containsText" dxfId="4283" priority="5692" operator="containsText" text="$H$10">
      <formula>NOT(ISERROR(SEARCH($H$10,D359)))</formula>
      <formula>$H$10</formula>
    </cfRule>
    <cfRule type="containsText" dxfId="4282" priority="5691" operator="containsText" text="$H$11">
      <formula>NOT(ISERROR(SEARCH($H$11,D359)))</formula>
      <formula>$H$11</formula>
    </cfRule>
    <cfRule type="containsText" dxfId="4281" priority="5690" operator="containsText" text="$H$12">
      <formula>NOT(ISERROR(SEARCH($H$12,D359)))</formula>
      <formula>$H$12</formula>
    </cfRule>
    <cfRule type="containsText" dxfId="4280" priority="5689" operator="containsText" text="$H$13">
      <formula>NOT(ISERROR(SEARCH($H$13,D359)))</formula>
      <formula>$H$13</formula>
    </cfRule>
  </conditionalFormatting>
  <conditionalFormatting sqref="D361">
    <cfRule type="containsText" dxfId="4279" priority="5688" operator="containsText" text="$H$7">
      <formula>NOT(ISERROR(SEARCH($H$7,D361)))</formula>
      <formula>$H$7</formula>
    </cfRule>
    <cfRule type="containsText" dxfId="4278" priority="5687" operator="containsText" text="$H$8">
      <formula>NOT(ISERROR(SEARCH($H$8,D361)))</formula>
      <formula>$H$8</formula>
    </cfRule>
    <cfRule type="containsText" dxfId="4277" priority="5686" operator="containsText" text="$H$8">
      <formula>NOT(ISERROR(SEARCH($H$8,D361)))</formula>
      <formula>$H$8</formula>
    </cfRule>
    <cfRule type="containsText" dxfId="4276" priority="5685" operator="containsText" text="$H$9">
      <formula>NOT(ISERROR(SEARCH($H$9,D361)))</formula>
      <formula>$H$9</formula>
    </cfRule>
    <cfRule type="containsText" dxfId="4275" priority="5684" operator="containsText" text="$H$10">
      <formula>NOT(ISERROR(SEARCH($H$10,D361)))</formula>
      <formula>$H$10</formula>
    </cfRule>
    <cfRule type="containsText" dxfId="4274" priority="5683" operator="containsText" text="$H$11">
      <formula>NOT(ISERROR(SEARCH($H$11,D361)))</formula>
      <formula>$H$11</formula>
    </cfRule>
    <cfRule type="containsText" dxfId="4273" priority="5682" operator="containsText" text="$H$12">
      <formula>NOT(ISERROR(SEARCH($H$12,D361)))</formula>
      <formula>$H$12</formula>
    </cfRule>
    <cfRule type="containsText" dxfId="4272" priority="5681" operator="containsText" text="$H$13">
      <formula>NOT(ISERROR(SEARCH($H$13,D361)))</formula>
      <formula>$H$13</formula>
    </cfRule>
  </conditionalFormatting>
  <conditionalFormatting sqref="D363">
    <cfRule type="containsText" dxfId="4271" priority="5680" operator="containsText" text="$H$7">
      <formula>NOT(ISERROR(SEARCH($H$7,D363)))</formula>
      <formula>$H$7</formula>
    </cfRule>
    <cfRule type="containsText" dxfId="4270" priority="5679" operator="containsText" text="$H$8">
      <formula>NOT(ISERROR(SEARCH($H$8,D363)))</formula>
      <formula>$H$8</formula>
    </cfRule>
    <cfRule type="containsText" dxfId="4269" priority="5678" operator="containsText" text="$H$8">
      <formula>NOT(ISERROR(SEARCH($H$8,D363)))</formula>
      <formula>$H$8</formula>
    </cfRule>
    <cfRule type="containsText" dxfId="4268" priority="5677" operator="containsText" text="$H$9">
      <formula>NOT(ISERROR(SEARCH($H$9,D363)))</formula>
      <formula>$H$9</formula>
    </cfRule>
    <cfRule type="containsText" dxfId="4267" priority="5676" operator="containsText" text="$H$10">
      <formula>NOT(ISERROR(SEARCH($H$10,D363)))</formula>
      <formula>$H$10</formula>
    </cfRule>
    <cfRule type="containsText" dxfId="4266" priority="5675" operator="containsText" text="$H$11">
      <formula>NOT(ISERROR(SEARCH($H$11,D363)))</formula>
      <formula>$H$11</formula>
    </cfRule>
    <cfRule type="containsText" dxfId="4265" priority="5674" operator="containsText" text="$H$12">
      <formula>NOT(ISERROR(SEARCH($H$12,D363)))</formula>
      <formula>$H$12</formula>
    </cfRule>
    <cfRule type="containsText" dxfId="4264" priority="5673" operator="containsText" text="$H$13">
      <formula>NOT(ISERROR(SEARCH($H$13,D363)))</formula>
      <formula>$H$13</formula>
    </cfRule>
  </conditionalFormatting>
  <conditionalFormatting sqref="C375">
    <cfRule type="containsText" dxfId="4263" priority="5672" operator="containsText" text="$H$7">
      <formula>NOT(ISERROR(SEARCH($H$7,C375)))</formula>
      <formula>$H$7</formula>
    </cfRule>
    <cfRule type="containsText" dxfId="4262" priority="5671" operator="containsText" text="$H$8">
      <formula>NOT(ISERROR(SEARCH($H$8,C375)))</formula>
      <formula>$H$8</formula>
    </cfRule>
    <cfRule type="containsText" dxfId="4261" priority="5670" operator="containsText" text="$H$8">
      <formula>NOT(ISERROR(SEARCH($H$8,C375)))</formula>
      <formula>$H$8</formula>
    </cfRule>
    <cfRule type="containsText" dxfId="4260" priority="5669" operator="containsText" text="$H$9">
      <formula>NOT(ISERROR(SEARCH($H$9,C375)))</formula>
      <formula>$H$9</formula>
    </cfRule>
    <cfRule type="containsText" dxfId="4259" priority="5668" operator="containsText" text="$H$10">
      <formula>NOT(ISERROR(SEARCH($H$10,C375)))</formula>
      <formula>$H$10</formula>
    </cfRule>
    <cfRule type="containsText" dxfId="4258" priority="5667" operator="containsText" text="$H$11">
      <formula>NOT(ISERROR(SEARCH($H$11,C375)))</formula>
      <formula>$H$11</formula>
    </cfRule>
    <cfRule type="containsText" dxfId="4257" priority="5666" operator="containsText" text="$H$12">
      <formula>NOT(ISERROR(SEARCH($H$12,C375)))</formula>
      <formula>$H$12</formula>
    </cfRule>
    <cfRule type="containsText" dxfId="4256" priority="5665" operator="containsText" text="$H$13">
      <formula>NOT(ISERROR(SEARCH($H$13,C375)))</formula>
      <formula>$H$13</formula>
    </cfRule>
  </conditionalFormatting>
  <conditionalFormatting sqref="C377">
    <cfRule type="containsText" dxfId="4255" priority="5664" operator="containsText" text="$H$7">
      <formula>NOT(ISERROR(SEARCH($H$7,C377)))</formula>
      <formula>$H$7</formula>
    </cfRule>
    <cfRule type="containsText" dxfId="4254" priority="5663" operator="containsText" text="$H$8">
      <formula>NOT(ISERROR(SEARCH($H$8,C377)))</formula>
      <formula>$H$8</formula>
    </cfRule>
    <cfRule type="containsText" dxfId="4253" priority="5662" operator="containsText" text="$H$8">
      <formula>NOT(ISERROR(SEARCH($H$8,C377)))</formula>
      <formula>$H$8</formula>
    </cfRule>
    <cfRule type="containsText" dxfId="4252" priority="5661" operator="containsText" text="$H$9">
      <formula>NOT(ISERROR(SEARCH($H$9,C377)))</formula>
      <formula>$H$9</formula>
    </cfRule>
    <cfRule type="containsText" dxfId="4251" priority="5660" operator="containsText" text="$H$10">
      <formula>NOT(ISERROR(SEARCH($H$10,C377)))</formula>
      <formula>$H$10</formula>
    </cfRule>
    <cfRule type="containsText" dxfId="4250" priority="5659" operator="containsText" text="$H$11">
      <formula>NOT(ISERROR(SEARCH($H$11,C377)))</formula>
      <formula>$H$11</formula>
    </cfRule>
    <cfRule type="containsText" dxfId="4249" priority="5658" operator="containsText" text="$H$12">
      <formula>NOT(ISERROR(SEARCH($H$12,C377)))</formula>
      <formula>$H$12</formula>
    </cfRule>
    <cfRule type="containsText" dxfId="4248" priority="5657" operator="containsText" text="$H$13">
      <formula>NOT(ISERROR(SEARCH($H$13,C377)))</formula>
      <formula>$H$13</formula>
    </cfRule>
  </conditionalFormatting>
  <conditionalFormatting sqref="C379">
    <cfRule type="containsText" dxfId="4247" priority="5656" operator="containsText" text="$H$7">
      <formula>NOT(ISERROR(SEARCH($H$7,C379)))</formula>
      <formula>$H$7</formula>
    </cfRule>
    <cfRule type="containsText" dxfId="4246" priority="5655" operator="containsText" text="$H$8">
      <formula>NOT(ISERROR(SEARCH($H$8,C379)))</formula>
      <formula>$H$8</formula>
    </cfRule>
    <cfRule type="containsText" dxfId="4245" priority="5654" operator="containsText" text="$H$8">
      <formula>NOT(ISERROR(SEARCH($H$8,C379)))</formula>
      <formula>$H$8</formula>
    </cfRule>
    <cfRule type="containsText" dxfId="4244" priority="5653" operator="containsText" text="$H$9">
      <formula>NOT(ISERROR(SEARCH($H$9,C379)))</formula>
      <formula>$H$9</formula>
    </cfRule>
    <cfRule type="containsText" dxfId="4243" priority="5652" operator="containsText" text="$H$10">
      <formula>NOT(ISERROR(SEARCH($H$10,C379)))</formula>
      <formula>$H$10</formula>
    </cfRule>
    <cfRule type="containsText" dxfId="4242" priority="5651" operator="containsText" text="$H$11">
      <formula>NOT(ISERROR(SEARCH($H$11,C379)))</formula>
      <formula>$H$11</formula>
    </cfRule>
    <cfRule type="containsText" dxfId="4241" priority="5650" operator="containsText" text="$H$12">
      <formula>NOT(ISERROR(SEARCH($H$12,C379)))</formula>
      <formula>$H$12</formula>
    </cfRule>
    <cfRule type="containsText" dxfId="4240" priority="5649" operator="containsText" text="$H$13">
      <formula>NOT(ISERROR(SEARCH($H$13,C379)))</formula>
      <formula>$H$13</formula>
    </cfRule>
  </conditionalFormatting>
  <conditionalFormatting sqref="C381">
    <cfRule type="containsText" dxfId="4239" priority="5648" operator="containsText" text="$H$7">
      <formula>NOT(ISERROR(SEARCH($H$7,C381)))</formula>
      <formula>$H$7</formula>
    </cfRule>
    <cfRule type="containsText" dxfId="4238" priority="5647" operator="containsText" text="$H$8">
      <formula>NOT(ISERROR(SEARCH($H$8,C381)))</formula>
      <formula>$H$8</formula>
    </cfRule>
    <cfRule type="containsText" dxfId="4237" priority="5646" operator="containsText" text="$H$8">
      <formula>NOT(ISERROR(SEARCH($H$8,C381)))</formula>
      <formula>$H$8</formula>
    </cfRule>
    <cfRule type="containsText" dxfId="4236" priority="5645" operator="containsText" text="$H$9">
      <formula>NOT(ISERROR(SEARCH($H$9,C381)))</formula>
      <formula>$H$9</formula>
    </cfRule>
    <cfRule type="containsText" dxfId="4235" priority="5644" operator="containsText" text="$H$10">
      <formula>NOT(ISERROR(SEARCH($H$10,C381)))</formula>
      <formula>$H$10</formula>
    </cfRule>
    <cfRule type="containsText" dxfId="4234" priority="5643" operator="containsText" text="$H$11">
      <formula>NOT(ISERROR(SEARCH($H$11,C381)))</formula>
      <formula>$H$11</formula>
    </cfRule>
    <cfRule type="containsText" dxfId="4233" priority="5642" operator="containsText" text="$H$12">
      <formula>NOT(ISERROR(SEARCH($H$12,C381)))</formula>
      <formula>$H$12</formula>
    </cfRule>
    <cfRule type="containsText" dxfId="4232" priority="5641" operator="containsText" text="$H$13">
      <formula>NOT(ISERROR(SEARCH($H$13,C381)))</formula>
      <formula>$H$13</formula>
    </cfRule>
  </conditionalFormatting>
  <conditionalFormatting sqref="B411">
    <cfRule type="containsText" dxfId="4231" priority="5616" operator="containsText" text="$H$7">
      <formula>NOT(ISERROR(SEARCH($H$7,B411)))</formula>
      <formula>$H$7</formula>
    </cfRule>
    <cfRule type="containsText" dxfId="4230" priority="5615" operator="containsText" text="$H$8">
      <formula>NOT(ISERROR(SEARCH($H$8,B411)))</formula>
      <formula>$H$8</formula>
    </cfRule>
    <cfRule type="containsText" dxfId="4229" priority="5614" operator="containsText" text="$H$8">
      <formula>NOT(ISERROR(SEARCH($H$8,B411)))</formula>
      <formula>$H$8</formula>
    </cfRule>
    <cfRule type="containsText" dxfId="4228" priority="5613" operator="containsText" text="$H$9">
      <formula>NOT(ISERROR(SEARCH($H$9,B411)))</formula>
      <formula>$H$9</formula>
    </cfRule>
    <cfRule type="containsText" dxfId="4227" priority="5612" operator="containsText" text="$H$10">
      <formula>NOT(ISERROR(SEARCH($H$10,B411)))</formula>
      <formula>$H$10</formula>
    </cfRule>
    <cfRule type="containsText" dxfId="4226" priority="5611" operator="containsText" text="$H$11">
      <formula>NOT(ISERROR(SEARCH($H$11,B411)))</formula>
      <formula>$H$11</formula>
    </cfRule>
    <cfRule type="containsText" dxfId="4225" priority="5610" operator="containsText" text="$H$12">
      <formula>NOT(ISERROR(SEARCH($H$12,B411)))</formula>
      <formula>$H$12</formula>
    </cfRule>
    <cfRule type="containsText" dxfId="4224" priority="5609" operator="containsText" text="$H$13">
      <formula>NOT(ISERROR(SEARCH($H$13,B411)))</formula>
      <formula>$H$13</formula>
    </cfRule>
  </conditionalFormatting>
  <conditionalFormatting sqref="B413">
    <cfRule type="containsText" dxfId="4223" priority="5608" operator="containsText" text="$H$7">
      <formula>NOT(ISERROR(SEARCH($H$7,B413)))</formula>
      <formula>$H$7</formula>
    </cfRule>
    <cfRule type="containsText" dxfId="4222" priority="5607" operator="containsText" text="$H$8">
      <formula>NOT(ISERROR(SEARCH($H$8,B413)))</formula>
      <formula>$H$8</formula>
    </cfRule>
    <cfRule type="containsText" dxfId="4221" priority="5606" operator="containsText" text="$H$8">
      <formula>NOT(ISERROR(SEARCH($H$8,B413)))</formula>
      <formula>$H$8</formula>
    </cfRule>
    <cfRule type="containsText" dxfId="4220" priority="5605" operator="containsText" text="$H$9">
      <formula>NOT(ISERROR(SEARCH($H$9,B413)))</formula>
      <formula>$H$9</formula>
    </cfRule>
    <cfRule type="containsText" dxfId="4219" priority="5604" operator="containsText" text="$H$10">
      <formula>NOT(ISERROR(SEARCH($H$10,B413)))</formula>
      <formula>$H$10</formula>
    </cfRule>
    <cfRule type="containsText" dxfId="4218" priority="5603" operator="containsText" text="$H$11">
      <formula>NOT(ISERROR(SEARCH($H$11,B413)))</formula>
      <formula>$H$11</formula>
    </cfRule>
    <cfRule type="containsText" dxfId="4217" priority="5602" operator="containsText" text="$H$12">
      <formula>NOT(ISERROR(SEARCH($H$12,B413)))</formula>
      <formula>$H$12</formula>
    </cfRule>
    <cfRule type="containsText" dxfId="4216" priority="5601" operator="containsText" text="$H$13">
      <formula>NOT(ISERROR(SEARCH($H$13,B413)))</formula>
      <formula>$H$13</formula>
    </cfRule>
  </conditionalFormatting>
  <conditionalFormatting sqref="B415">
    <cfRule type="containsText" dxfId="4215" priority="5600" operator="containsText" text="$H$7">
      <formula>NOT(ISERROR(SEARCH($H$7,B415)))</formula>
      <formula>$H$7</formula>
    </cfRule>
    <cfRule type="containsText" dxfId="4214" priority="5599" operator="containsText" text="$H$8">
      <formula>NOT(ISERROR(SEARCH($H$8,B415)))</formula>
      <formula>$H$8</formula>
    </cfRule>
    <cfRule type="containsText" dxfId="4213" priority="5598" operator="containsText" text="$H$8">
      <formula>NOT(ISERROR(SEARCH($H$8,B415)))</formula>
      <formula>$H$8</formula>
    </cfRule>
    <cfRule type="containsText" dxfId="4212" priority="5597" operator="containsText" text="$H$9">
      <formula>NOT(ISERROR(SEARCH($H$9,B415)))</formula>
      <formula>$H$9</formula>
    </cfRule>
    <cfRule type="containsText" dxfId="4211" priority="5596" operator="containsText" text="$H$10">
      <formula>NOT(ISERROR(SEARCH($H$10,B415)))</formula>
      <formula>$H$10</formula>
    </cfRule>
    <cfRule type="containsText" dxfId="4210" priority="5595" operator="containsText" text="$H$11">
      <formula>NOT(ISERROR(SEARCH($H$11,B415)))</formula>
      <formula>$H$11</formula>
    </cfRule>
    <cfRule type="containsText" dxfId="4209" priority="5594" operator="containsText" text="$H$12">
      <formula>NOT(ISERROR(SEARCH($H$12,B415)))</formula>
      <formula>$H$12</formula>
    </cfRule>
    <cfRule type="containsText" dxfId="4208" priority="5593" operator="containsText" text="$H$13">
      <formula>NOT(ISERROR(SEARCH($H$13,B415)))</formula>
      <formula>$H$13</formula>
    </cfRule>
  </conditionalFormatting>
  <conditionalFormatting sqref="B417">
    <cfRule type="containsText" dxfId="4207" priority="5592" operator="containsText" text="$H$7">
      <formula>NOT(ISERROR(SEARCH($H$7,B417)))</formula>
      <formula>$H$7</formula>
    </cfRule>
    <cfRule type="containsText" dxfId="4206" priority="5591" operator="containsText" text="$H$8">
      <formula>NOT(ISERROR(SEARCH($H$8,B417)))</formula>
      <formula>$H$8</formula>
    </cfRule>
    <cfRule type="containsText" dxfId="4205" priority="5590" operator="containsText" text="$H$8">
      <formula>NOT(ISERROR(SEARCH($H$8,B417)))</formula>
      <formula>$H$8</formula>
    </cfRule>
    <cfRule type="containsText" dxfId="4204" priority="5589" operator="containsText" text="$H$9">
      <formula>NOT(ISERROR(SEARCH($H$9,B417)))</formula>
      <formula>$H$9</formula>
    </cfRule>
    <cfRule type="containsText" dxfId="4203" priority="5588" operator="containsText" text="$H$10">
      <formula>NOT(ISERROR(SEARCH($H$10,B417)))</formula>
      <formula>$H$10</formula>
    </cfRule>
    <cfRule type="containsText" dxfId="4202" priority="5587" operator="containsText" text="$H$11">
      <formula>NOT(ISERROR(SEARCH($H$11,B417)))</formula>
      <formula>$H$11</formula>
    </cfRule>
    <cfRule type="containsText" dxfId="4201" priority="5586" operator="containsText" text="$H$12">
      <formula>NOT(ISERROR(SEARCH($H$12,B417)))</formula>
      <formula>$H$12</formula>
    </cfRule>
    <cfRule type="containsText" dxfId="4200" priority="5585" operator="containsText" text="$H$13">
      <formula>NOT(ISERROR(SEARCH($H$13,B417)))</formula>
      <formula>$H$13</formula>
    </cfRule>
  </conditionalFormatting>
  <conditionalFormatting sqref="D403">
    <cfRule type="containsText" dxfId="4199" priority="5584" operator="containsText" text="$H$7">
      <formula>NOT(ISERROR(SEARCH($H$7,D403)))</formula>
      <formula>$H$7</formula>
    </cfRule>
    <cfRule type="containsText" dxfId="4198" priority="5583" operator="containsText" text="$H$8">
      <formula>NOT(ISERROR(SEARCH($H$8,D403)))</formula>
      <formula>$H$8</formula>
    </cfRule>
    <cfRule type="containsText" dxfId="4197" priority="5582" operator="containsText" text="$H$8">
      <formula>NOT(ISERROR(SEARCH($H$8,D403)))</formula>
      <formula>$H$8</formula>
    </cfRule>
    <cfRule type="containsText" dxfId="4196" priority="5581" operator="containsText" text="$H$9">
      <formula>NOT(ISERROR(SEARCH($H$9,D403)))</formula>
      <formula>$H$9</formula>
    </cfRule>
    <cfRule type="containsText" dxfId="4195" priority="5580" operator="containsText" text="$H$10">
      <formula>NOT(ISERROR(SEARCH($H$10,D403)))</formula>
      <formula>$H$10</formula>
    </cfRule>
    <cfRule type="containsText" dxfId="4194" priority="5579" operator="containsText" text="$H$11">
      <formula>NOT(ISERROR(SEARCH($H$11,D403)))</formula>
      <formula>$H$11</formula>
    </cfRule>
    <cfRule type="containsText" dxfId="4193" priority="5578" operator="containsText" text="$H$12">
      <formula>NOT(ISERROR(SEARCH($H$12,D403)))</formula>
      <formula>$H$12</formula>
    </cfRule>
    <cfRule type="containsText" dxfId="4192" priority="5577" operator="containsText" text="$H$13">
      <formula>NOT(ISERROR(SEARCH($H$13,D403)))</formula>
      <formula>$H$13</formula>
    </cfRule>
  </conditionalFormatting>
  <conditionalFormatting sqref="D405">
    <cfRule type="containsText" dxfId="4191" priority="5576" operator="containsText" text="$H$7">
      <formula>NOT(ISERROR(SEARCH($H$7,D405)))</formula>
      <formula>$H$7</formula>
    </cfRule>
    <cfRule type="containsText" dxfId="4190" priority="5575" operator="containsText" text="$H$8">
      <formula>NOT(ISERROR(SEARCH($H$8,D405)))</formula>
      <formula>$H$8</formula>
    </cfRule>
    <cfRule type="containsText" dxfId="4189" priority="5574" operator="containsText" text="$H$8">
      <formula>NOT(ISERROR(SEARCH($H$8,D405)))</formula>
      <formula>$H$8</formula>
    </cfRule>
    <cfRule type="containsText" dxfId="4188" priority="5573" operator="containsText" text="$H$9">
      <formula>NOT(ISERROR(SEARCH($H$9,D405)))</formula>
      <formula>$H$9</formula>
    </cfRule>
    <cfRule type="containsText" dxfId="4187" priority="5572" operator="containsText" text="$H$10">
      <formula>NOT(ISERROR(SEARCH($H$10,D405)))</formula>
      <formula>$H$10</formula>
    </cfRule>
    <cfRule type="containsText" dxfId="4186" priority="5571" operator="containsText" text="$H$11">
      <formula>NOT(ISERROR(SEARCH($H$11,D405)))</formula>
      <formula>$H$11</formula>
    </cfRule>
    <cfRule type="containsText" dxfId="4185" priority="5570" operator="containsText" text="$H$12">
      <formula>NOT(ISERROR(SEARCH($H$12,D405)))</formula>
      <formula>$H$12</formula>
    </cfRule>
    <cfRule type="containsText" dxfId="4184" priority="5569" operator="containsText" text="$H$13">
      <formula>NOT(ISERROR(SEARCH($H$13,D405)))</formula>
      <formula>$H$13</formula>
    </cfRule>
  </conditionalFormatting>
  <conditionalFormatting sqref="D407">
    <cfRule type="containsText" dxfId="4183" priority="5568" operator="containsText" text="$H$7">
      <formula>NOT(ISERROR(SEARCH($H$7,D407)))</formula>
      <formula>$H$7</formula>
    </cfRule>
    <cfRule type="containsText" dxfId="4182" priority="5567" operator="containsText" text="$H$8">
      <formula>NOT(ISERROR(SEARCH($H$8,D407)))</formula>
      <formula>$H$8</formula>
    </cfRule>
    <cfRule type="containsText" dxfId="4181" priority="5566" operator="containsText" text="$H$8">
      <formula>NOT(ISERROR(SEARCH($H$8,D407)))</formula>
      <formula>$H$8</formula>
    </cfRule>
    <cfRule type="containsText" dxfId="4180" priority="5565" operator="containsText" text="$H$9">
      <formula>NOT(ISERROR(SEARCH($H$9,D407)))</formula>
      <formula>$H$9</formula>
    </cfRule>
    <cfRule type="containsText" dxfId="4179" priority="5564" operator="containsText" text="$H$10">
      <formula>NOT(ISERROR(SEARCH($H$10,D407)))</formula>
      <formula>$H$10</formula>
    </cfRule>
    <cfRule type="containsText" dxfId="4178" priority="5563" operator="containsText" text="$H$11">
      <formula>NOT(ISERROR(SEARCH($H$11,D407)))</formula>
      <formula>$H$11</formula>
    </cfRule>
    <cfRule type="containsText" dxfId="4177" priority="5562" operator="containsText" text="$H$12">
      <formula>NOT(ISERROR(SEARCH($H$12,D407)))</formula>
      <formula>$H$12</formula>
    </cfRule>
    <cfRule type="containsText" dxfId="4176" priority="5561" operator="containsText" text="$H$13">
      <formula>NOT(ISERROR(SEARCH($H$13,D407)))</formula>
      <formula>$H$13</formula>
    </cfRule>
  </conditionalFormatting>
  <conditionalFormatting sqref="D409">
    <cfRule type="containsText" dxfId="4175" priority="5560" operator="containsText" text="$H$7">
      <formula>NOT(ISERROR(SEARCH($H$7,D409)))</formula>
      <formula>$H$7</formula>
    </cfRule>
    <cfRule type="containsText" dxfId="4174" priority="5559" operator="containsText" text="$H$8">
      <formula>NOT(ISERROR(SEARCH($H$8,D409)))</formula>
      <formula>$H$8</formula>
    </cfRule>
    <cfRule type="containsText" dxfId="4173" priority="5558" operator="containsText" text="$H$8">
      <formula>NOT(ISERROR(SEARCH($H$8,D409)))</formula>
      <formula>$H$8</formula>
    </cfRule>
    <cfRule type="containsText" dxfId="4172" priority="5557" operator="containsText" text="$H$9">
      <formula>NOT(ISERROR(SEARCH($H$9,D409)))</formula>
      <formula>$H$9</formula>
    </cfRule>
    <cfRule type="containsText" dxfId="4171" priority="5556" operator="containsText" text="$H$10">
      <formula>NOT(ISERROR(SEARCH($H$10,D409)))</formula>
      <formula>$H$10</formula>
    </cfRule>
    <cfRule type="containsText" dxfId="4170" priority="5555" operator="containsText" text="$H$11">
      <formula>NOT(ISERROR(SEARCH($H$11,D409)))</formula>
      <formula>$H$11</formula>
    </cfRule>
    <cfRule type="containsText" dxfId="4169" priority="5554" operator="containsText" text="$H$12">
      <formula>NOT(ISERROR(SEARCH($H$12,D409)))</formula>
      <formula>$H$12</formula>
    </cfRule>
    <cfRule type="containsText" dxfId="4168" priority="5553" operator="containsText" text="$H$13">
      <formula>NOT(ISERROR(SEARCH($H$13,D409)))</formula>
      <formula>$H$13</formula>
    </cfRule>
  </conditionalFormatting>
  <conditionalFormatting sqref="F411">
    <cfRule type="containsText" dxfId="4167" priority="5552" operator="containsText" text="$H$7">
      <formula>NOT(ISERROR(SEARCH($H$7,F411)))</formula>
      <formula>$H$7</formula>
    </cfRule>
    <cfRule type="containsText" dxfId="4166" priority="5551" operator="containsText" text="$H$8">
      <formula>NOT(ISERROR(SEARCH($H$8,F411)))</formula>
      <formula>$H$8</formula>
    </cfRule>
    <cfRule type="containsText" dxfId="4165" priority="5550" operator="containsText" text="$H$8">
      <formula>NOT(ISERROR(SEARCH($H$8,F411)))</formula>
      <formula>$H$8</formula>
    </cfRule>
    <cfRule type="containsText" dxfId="4164" priority="5549" operator="containsText" text="$H$9">
      <formula>NOT(ISERROR(SEARCH($H$9,F411)))</formula>
      <formula>$H$9</formula>
    </cfRule>
    <cfRule type="containsText" dxfId="4163" priority="5548" operator="containsText" text="$H$10">
      <formula>NOT(ISERROR(SEARCH($H$10,F411)))</formula>
      <formula>$H$10</formula>
    </cfRule>
    <cfRule type="containsText" dxfId="4162" priority="5547" operator="containsText" text="$H$11">
      <formula>NOT(ISERROR(SEARCH($H$11,F411)))</formula>
      <formula>$H$11</formula>
    </cfRule>
    <cfRule type="containsText" dxfId="4161" priority="5546" operator="containsText" text="$H$12">
      <formula>NOT(ISERROR(SEARCH($H$12,F411)))</formula>
      <formula>$H$12</formula>
    </cfRule>
    <cfRule type="containsText" dxfId="4160" priority="5545" operator="containsText" text="$H$13">
      <formula>NOT(ISERROR(SEARCH($H$13,F411)))</formula>
      <formula>$H$13</formula>
    </cfRule>
  </conditionalFormatting>
  <conditionalFormatting sqref="F413">
    <cfRule type="containsText" dxfId="4159" priority="5544" operator="containsText" text="$H$7">
      <formula>NOT(ISERROR(SEARCH($H$7,F413)))</formula>
      <formula>$H$7</formula>
    </cfRule>
    <cfRule type="containsText" dxfId="4158" priority="5543" operator="containsText" text="$H$8">
      <formula>NOT(ISERROR(SEARCH($H$8,F413)))</formula>
      <formula>$H$8</formula>
    </cfRule>
    <cfRule type="containsText" dxfId="4157" priority="5542" operator="containsText" text="$H$8">
      <formula>NOT(ISERROR(SEARCH($H$8,F413)))</formula>
      <formula>$H$8</formula>
    </cfRule>
    <cfRule type="containsText" dxfId="4156" priority="5541" operator="containsText" text="$H$9">
      <formula>NOT(ISERROR(SEARCH($H$9,F413)))</formula>
      <formula>$H$9</formula>
    </cfRule>
    <cfRule type="containsText" dxfId="4155" priority="5540" operator="containsText" text="$H$10">
      <formula>NOT(ISERROR(SEARCH($H$10,F413)))</formula>
      <formula>$H$10</formula>
    </cfRule>
    <cfRule type="containsText" dxfId="4154" priority="5539" operator="containsText" text="$H$11">
      <formula>NOT(ISERROR(SEARCH($H$11,F413)))</formula>
      <formula>$H$11</formula>
    </cfRule>
    <cfRule type="containsText" dxfId="4153" priority="5538" operator="containsText" text="$H$12">
      <formula>NOT(ISERROR(SEARCH($H$12,F413)))</formula>
      <formula>$H$12</formula>
    </cfRule>
    <cfRule type="containsText" dxfId="4152" priority="5537" operator="containsText" text="$H$13">
      <formula>NOT(ISERROR(SEARCH($H$13,F413)))</formula>
      <formula>$H$13</formula>
    </cfRule>
  </conditionalFormatting>
  <conditionalFormatting sqref="F415">
    <cfRule type="containsText" dxfId="4151" priority="5536" operator="containsText" text="$H$7">
      <formula>NOT(ISERROR(SEARCH($H$7,F415)))</formula>
      <formula>$H$7</formula>
    </cfRule>
    <cfRule type="containsText" dxfId="4150" priority="5535" operator="containsText" text="$H$8">
      <formula>NOT(ISERROR(SEARCH($H$8,F415)))</formula>
      <formula>$H$8</formula>
    </cfRule>
    <cfRule type="containsText" dxfId="4149" priority="5534" operator="containsText" text="$H$8">
      <formula>NOT(ISERROR(SEARCH($H$8,F415)))</formula>
      <formula>$H$8</formula>
    </cfRule>
    <cfRule type="containsText" dxfId="4148" priority="5533" operator="containsText" text="$H$9">
      <formula>NOT(ISERROR(SEARCH($H$9,F415)))</formula>
      <formula>$H$9</formula>
    </cfRule>
    <cfRule type="containsText" dxfId="4147" priority="5532" operator="containsText" text="$H$10">
      <formula>NOT(ISERROR(SEARCH($H$10,F415)))</formula>
      <formula>$H$10</formula>
    </cfRule>
    <cfRule type="containsText" dxfId="4146" priority="5531" operator="containsText" text="$H$11">
      <formula>NOT(ISERROR(SEARCH($H$11,F415)))</formula>
      <formula>$H$11</formula>
    </cfRule>
    <cfRule type="containsText" dxfId="4145" priority="5530" operator="containsText" text="$H$12">
      <formula>NOT(ISERROR(SEARCH($H$12,F415)))</formula>
      <formula>$H$12</formula>
    </cfRule>
    <cfRule type="containsText" dxfId="4144" priority="5529" operator="containsText" text="$H$13">
      <formula>NOT(ISERROR(SEARCH($H$13,F415)))</formula>
      <formula>$H$13</formula>
    </cfRule>
  </conditionalFormatting>
  <conditionalFormatting sqref="F417">
    <cfRule type="containsText" dxfId="4143" priority="5528" operator="containsText" text="$H$7">
      <formula>NOT(ISERROR(SEARCH($H$7,F417)))</formula>
      <formula>$H$7</formula>
    </cfRule>
    <cfRule type="containsText" dxfId="4142" priority="5527" operator="containsText" text="$H$8">
      <formula>NOT(ISERROR(SEARCH($H$8,F417)))</formula>
      <formula>$H$8</formula>
    </cfRule>
    <cfRule type="containsText" dxfId="4141" priority="5526" operator="containsText" text="$H$8">
      <formula>NOT(ISERROR(SEARCH($H$8,F417)))</formula>
      <formula>$H$8</formula>
    </cfRule>
    <cfRule type="containsText" dxfId="4140" priority="5525" operator="containsText" text="$H$9">
      <formula>NOT(ISERROR(SEARCH($H$9,F417)))</formula>
      <formula>$H$9</formula>
    </cfRule>
    <cfRule type="containsText" dxfId="4139" priority="5524" operator="containsText" text="$H$10">
      <formula>NOT(ISERROR(SEARCH($H$10,F417)))</formula>
      <formula>$H$10</formula>
    </cfRule>
    <cfRule type="containsText" dxfId="4138" priority="5523" operator="containsText" text="$H$11">
      <formula>NOT(ISERROR(SEARCH($H$11,F417)))</formula>
      <formula>$H$11</formula>
    </cfRule>
    <cfRule type="containsText" dxfId="4137" priority="5522" operator="containsText" text="$H$12">
      <formula>NOT(ISERROR(SEARCH($H$12,F417)))</formula>
      <formula>$H$12</formula>
    </cfRule>
    <cfRule type="containsText" dxfId="4136" priority="5521" operator="containsText" text="$H$13">
      <formula>NOT(ISERROR(SEARCH($H$13,F417)))</formula>
      <formula>$H$13</formula>
    </cfRule>
  </conditionalFormatting>
  <conditionalFormatting sqref="B421">
    <cfRule type="containsText" dxfId="4135" priority="5520" operator="containsText" text="$H$7">
      <formula>NOT(ISERROR(SEARCH($H$7,B421)))</formula>
      <formula>$H$7</formula>
    </cfRule>
    <cfRule type="containsText" dxfId="4134" priority="5519" operator="containsText" text="$H$8">
      <formula>NOT(ISERROR(SEARCH($H$8,B421)))</formula>
      <formula>$H$8</formula>
    </cfRule>
    <cfRule type="containsText" dxfId="4133" priority="5518" operator="containsText" text="$H$8">
      <formula>NOT(ISERROR(SEARCH($H$8,B421)))</formula>
      <formula>$H$8</formula>
    </cfRule>
    <cfRule type="containsText" dxfId="4132" priority="5517" operator="containsText" text="$H$9">
      <formula>NOT(ISERROR(SEARCH($H$9,B421)))</formula>
      <formula>$H$9</formula>
    </cfRule>
    <cfRule type="containsText" dxfId="4131" priority="5516" operator="containsText" text="$H$10">
      <formula>NOT(ISERROR(SEARCH($H$10,B421)))</formula>
      <formula>$H$10</formula>
    </cfRule>
    <cfRule type="containsText" dxfId="4130" priority="5515" operator="containsText" text="$H$11">
      <formula>NOT(ISERROR(SEARCH($H$11,B421)))</formula>
      <formula>$H$11</formula>
    </cfRule>
    <cfRule type="containsText" dxfId="4129" priority="5514" operator="containsText" text="$H$12">
      <formula>NOT(ISERROR(SEARCH($H$12,B421)))</formula>
      <formula>$H$12</formula>
    </cfRule>
    <cfRule type="containsText" dxfId="4128" priority="5513" operator="containsText" text="$H$13">
      <formula>NOT(ISERROR(SEARCH($H$13,B421)))</formula>
      <formula>$H$13</formula>
    </cfRule>
  </conditionalFormatting>
  <conditionalFormatting sqref="B423">
    <cfRule type="containsText" dxfId="4127" priority="5512" operator="containsText" text="$H$7">
      <formula>NOT(ISERROR(SEARCH($H$7,B423)))</formula>
      <formula>$H$7</formula>
    </cfRule>
    <cfRule type="containsText" dxfId="4126" priority="5511" operator="containsText" text="$H$8">
      <formula>NOT(ISERROR(SEARCH($H$8,B423)))</formula>
      <formula>$H$8</formula>
    </cfRule>
    <cfRule type="containsText" dxfId="4125" priority="5510" operator="containsText" text="$H$8">
      <formula>NOT(ISERROR(SEARCH($H$8,B423)))</formula>
      <formula>$H$8</formula>
    </cfRule>
    <cfRule type="containsText" dxfId="4124" priority="5509" operator="containsText" text="$H$9">
      <formula>NOT(ISERROR(SEARCH($H$9,B423)))</formula>
      <formula>$H$9</formula>
    </cfRule>
    <cfRule type="containsText" dxfId="4123" priority="5508" operator="containsText" text="$H$10">
      <formula>NOT(ISERROR(SEARCH($H$10,B423)))</formula>
      <formula>$H$10</formula>
    </cfRule>
    <cfRule type="containsText" dxfId="4122" priority="5507" operator="containsText" text="$H$11">
      <formula>NOT(ISERROR(SEARCH($H$11,B423)))</formula>
      <formula>$H$11</formula>
    </cfRule>
    <cfRule type="containsText" dxfId="4121" priority="5506" operator="containsText" text="$H$12">
      <formula>NOT(ISERROR(SEARCH($H$12,B423)))</formula>
      <formula>$H$12</formula>
    </cfRule>
    <cfRule type="containsText" dxfId="4120" priority="5505" operator="containsText" text="$H$13">
      <formula>NOT(ISERROR(SEARCH($H$13,B423)))</formula>
      <formula>$H$13</formula>
    </cfRule>
  </conditionalFormatting>
  <conditionalFormatting sqref="B425">
    <cfRule type="containsText" dxfId="4119" priority="5504" operator="containsText" text="$H$7">
      <formula>NOT(ISERROR(SEARCH($H$7,B425)))</formula>
      <formula>$H$7</formula>
    </cfRule>
    <cfRule type="containsText" dxfId="4118" priority="5503" operator="containsText" text="$H$8">
      <formula>NOT(ISERROR(SEARCH($H$8,B425)))</formula>
      <formula>$H$8</formula>
    </cfRule>
    <cfRule type="containsText" dxfId="4117" priority="5502" operator="containsText" text="$H$8">
      <formula>NOT(ISERROR(SEARCH($H$8,B425)))</formula>
      <formula>$H$8</formula>
    </cfRule>
    <cfRule type="containsText" dxfId="4116" priority="5501" operator="containsText" text="$H$9">
      <formula>NOT(ISERROR(SEARCH($H$9,B425)))</formula>
      <formula>$H$9</formula>
    </cfRule>
    <cfRule type="containsText" dxfId="4115" priority="5500" operator="containsText" text="$H$10">
      <formula>NOT(ISERROR(SEARCH($H$10,B425)))</formula>
      <formula>$H$10</formula>
    </cfRule>
    <cfRule type="containsText" dxfId="4114" priority="5499" operator="containsText" text="$H$11">
      <formula>NOT(ISERROR(SEARCH($H$11,B425)))</formula>
      <formula>$H$11</formula>
    </cfRule>
    <cfRule type="containsText" dxfId="4113" priority="5498" operator="containsText" text="$H$12">
      <formula>NOT(ISERROR(SEARCH($H$12,B425)))</formula>
      <formula>$H$12</formula>
    </cfRule>
    <cfRule type="containsText" dxfId="4112" priority="5497" operator="containsText" text="$H$13">
      <formula>NOT(ISERROR(SEARCH($H$13,B425)))</formula>
      <formula>$H$13</formula>
    </cfRule>
  </conditionalFormatting>
  <conditionalFormatting sqref="B427">
    <cfRule type="containsText" dxfId="4111" priority="5496" operator="containsText" text="$H$7">
      <formula>NOT(ISERROR(SEARCH($H$7,B427)))</formula>
      <formula>$H$7</formula>
    </cfRule>
    <cfRule type="containsText" dxfId="4110" priority="5495" operator="containsText" text="$H$8">
      <formula>NOT(ISERROR(SEARCH($H$8,B427)))</formula>
      <formula>$H$8</formula>
    </cfRule>
    <cfRule type="containsText" dxfId="4109" priority="5494" operator="containsText" text="$H$8">
      <formula>NOT(ISERROR(SEARCH($H$8,B427)))</formula>
      <formula>$H$8</formula>
    </cfRule>
    <cfRule type="containsText" dxfId="4108" priority="5493" operator="containsText" text="$H$9">
      <formula>NOT(ISERROR(SEARCH($H$9,B427)))</formula>
      <formula>$H$9</formula>
    </cfRule>
    <cfRule type="containsText" dxfId="4107" priority="5492" operator="containsText" text="$H$10">
      <formula>NOT(ISERROR(SEARCH($H$10,B427)))</formula>
      <formula>$H$10</formula>
    </cfRule>
    <cfRule type="containsText" dxfId="4106" priority="5491" operator="containsText" text="$H$11">
      <formula>NOT(ISERROR(SEARCH($H$11,B427)))</formula>
      <formula>$H$11</formula>
    </cfRule>
    <cfRule type="containsText" dxfId="4105" priority="5490" operator="containsText" text="$H$12">
      <formula>NOT(ISERROR(SEARCH($H$12,B427)))</formula>
      <formula>$H$12</formula>
    </cfRule>
    <cfRule type="containsText" dxfId="4104" priority="5489" operator="containsText" text="$H$13">
      <formula>NOT(ISERROR(SEARCH($H$13,B427)))</formula>
      <formula>$H$13</formula>
    </cfRule>
  </conditionalFormatting>
  <conditionalFormatting sqref="D429">
    <cfRule type="containsText" dxfId="4103" priority="5488" operator="containsText" text="$H$7">
      <formula>NOT(ISERROR(SEARCH($H$7,D429)))</formula>
      <formula>$H$7</formula>
    </cfRule>
    <cfRule type="containsText" dxfId="4102" priority="5487" operator="containsText" text="$H$8">
      <formula>NOT(ISERROR(SEARCH($H$8,D429)))</formula>
      <formula>$H$8</formula>
    </cfRule>
    <cfRule type="containsText" dxfId="4101" priority="5486" operator="containsText" text="$H$8">
      <formula>NOT(ISERROR(SEARCH($H$8,D429)))</formula>
      <formula>$H$8</formula>
    </cfRule>
    <cfRule type="containsText" dxfId="4100" priority="5485" operator="containsText" text="$H$9">
      <formula>NOT(ISERROR(SEARCH($H$9,D429)))</formula>
      <formula>$H$9</formula>
    </cfRule>
    <cfRule type="containsText" dxfId="4099" priority="5484" operator="containsText" text="$H$10">
      <formula>NOT(ISERROR(SEARCH($H$10,D429)))</formula>
      <formula>$H$10</formula>
    </cfRule>
    <cfRule type="containsText" dxfId="4098" priority="5483" operator="containsText" text="$H$11">
      <formula>NOT(ISERROR(SEARCH($H$11,D429)))</formula>
      <formula>$H$11</formula>
    </cfRule>
    <cfRule type="containsText" dxfId="4097" priority="5482" operator="containsText" text="$H$12">
      <formula>NOT(ISERROR(SEARCH($H$12,D429)))</formula>
      <formula>$H$12</formula>
    </cfRule>
    <cfRule type="containsText" dxfId="4096" priority="5481" operator="containsText" text="$H$13">
      <formula>NOT(ISERROR(SEARCH($H$13,D429)))</formula>
      <formula>$H$13</formula>
    </cfRule>
  </conditionalFormatting>
  <conditionalFormatting sqref="D431">
    <cfRule type="containsText" dxfId="4095" priority="5480" operator="containsText" text="$H$7">
      <formula>NOT(ISERROR(SEARCH($H$7,D431)))</formula>
      <formula>$H$7</formula>
    </cfRule>
    <cfRule type="containsText" dxfId="4094" priority="5479" operator="containsText" text="$H$8">
      <formula>NOT(ISERROR(SEARCH($H$8,D431)))</formula>
      <formula>$H$8</formula>
    </cfRule>
    <cfRule type="containsText" dxfId="4093" priority="5478" operator="containsText" text="$H$8">
      <formula>NOT(ISERROR(SEARCH($H$8,D431)))</formula>
      <formula>$H$8</formula>
    </cfRule>
    <cfRule type="containsText" dxfId="4092" priority="5477" operator="containsText" text="$H$9">
      <formula>NOT(ISERROR(SEARCH($H$9,D431)))</formula>
      <formula>$H$9</formula>
    </cfRule>
    <cfRule type="containsText" dxfId="4091" priority="5476" operator="containsText" text="$H$10">
      <formula>NOT(ISERROR(SEARCH($H$10,D431)))</formula>
      <formula>$H$10</formula>
    </cfRule>
    <cfRule type="containsText" dxfId="4090" priority="5475" operator="containsText" text="$H$11">
      <formula>NOT(ISERROR(SEARCH($H$11,D431)))</formula>
      <formula>$H$11</formula>
    </cfRule>
    <cfRule type="containsText" dxfId="4089" priority="5474" operator="containsText" text="$H$12">
      <formula>NOT(ISERROR(SEARCH($H$12,D431)))</formula>
      <formula>$H$12</formula>
    </cfRule>
    <cfRule type="containsText" dxfId="4088" priority="5473" operator="containsText" text="$H$13">
      <formula>NOT(ISERROR(SEARCH($H$13,D431)))</formula>
      <formula>$H$13</formula>
    </cfRule>
  </conditionalFormatting>
  <conditionalFormatting sqref="D433">
    <cfRule type="containsText" dxfId="4087" priority="5472" operator="containsText" text="$H$7">
      <formula>NOT(ISERROR(SEARCH($H$7,D433)))</formula>
      <formula>$H$7</formula>
    </cfRule>
    <cfRule type="containsText" dxfId="4086" priority="5471" operator="containsText" text="$H$8">
      <formula>NOT(ISERROR(SEARCH($H$8,D433)))</formula>
      <formula>$H$8</formula>
    </cfRule>
    <cfRule type="containsText" dxfId="4085" priority="5470" operator="containsText" text="$H$8">
      <formula>NOT(ISERROR(SEARCH($H$8,D433)))</formula>
      <formula>$H$8</formula>
    </cfRule>
    <cfRule type="containsText" dxfId="4084" priority="5469" operator="containsText" text="$H$9">
      <formula>NOT(ISERROR(SEARCH($H$9,D433)))</formula>
      <formula>$H$9</formula>
    </cfRule>
    <cfRule type="containsText" dxfId="4083" priority="5468" operator="containsText" text="$H$10">
      <formula>NOT(ISERROR(SEARCH($H$10,D433)))</formula>
      <formula>$H$10</formula>
    </cfRule>
    <cfRule type="containsText" dxfId="4082" priority="5467" operator="containsText" text="$H$11">
      <formula>NOT(ISERROR(SEARCH($H$11,D433)))</formula>
      <formula>$H$11</formula>
    </cfRule>
    <cfRule type="containsText" dxfId="4081" priority="5466" operator="containsText" text="$H$12">
      <formula>NOT(ISERROR(SEARCH($H$12,D433)))</formula>
      <formula>$H$12</formula>
    </cfRule>
    <cfRule type="containsText" dxfId="4080" priority="5465" operator="containsText" text="$H$13">
      <formula>NOT(ISERROR(SEARCH($H$13,D433)))</formula>
      <formula>$H$13</formula>
    </cfRule>
  </conditionalFormatting>
  <conditionalFormatting sqref="D435">
    <cfRule type="containsText" dxfId="4079" priority="5464" operator="containsText" text="$H$7">
      <formula>NOT(ISERROR(SEARCH($H$7,D435)))</formula>
      <formula>$H$7</formula>
    </cfRule>
    <cfRule type="containsText" dxfId="4078" priority="5463" operator="containsText" text="$H$8">
      <formula>NOT(ISERROR(SEARCH($H$8,D435)))</formula>
      <formula>$H$8</formula>
    </cfRule>
    <cfRule type="containsText" dxfId="4077" priority="5462" operator="containsText" text="$H$8">
      <formula>NOT(ISERROR(SEARCH($H$8,D435)))</formula>
      <formula>$H$8</formula>
    </cfRule>
    <cfRule type="containsText" dxfId="4076" priority="5461" operator="containsText" text="$H$9">
      <formula>NOT(ISERROR(SEARCH($H$9,D435)))</formula>
      <formula>$H$9</formula>
    </cfRule>
    <cfRule type="containsText" dxfId="4075" priority="5460" operator="containsText" text="$H$10">
      <formula>NOT(ISERROR(SEARCH($H$10,D435)))</formula>
      <formula>$H$10</formula>
    </cfRule>
    <cfRule type="containsText" dxfId="4074" priority="5459" operator="containsText" text="$H$11">
      <formula>NOT(ISERROR(SEARCH($H$11,D435)))</formula>
      <formula>$H$11</formula>
    </cfRule>
    <cfRule type="containsText" dxfId="4073" priority="5458" operator="containsText" text="$H$12">
      <formula>NOT(ISERROR(SEARCH($H$12,D435)))</formula>
      <formula>$H$12</formula>
    </cfRule>
    <cfRule type="containsText" dxfId="4072" priority="5457" operator="containsText" text="$H$13">
      <formula>NOT(ISERROR(SEARCH($H$13,D435)))</formula>
      <formula>$H$13</formula>
    </cfRule>
  </conditionalFormatting>
  <conditionalFormatting sqref="F421">
    <cfRule type="containsText" dxfId="4071" priority="5456" operator="containsText" text="$H$7">
      <formula>NOT(ISERROR(SEARCH($H$7,F421)))</formula>
      <formula>$H$7</formula>
    </cfRule>
    <cfRule type="containsText" dxfId="4070" priority="5455" operator="containsText" text="$H$8">
      <formula>NOT(ISERROR(SEARCH($H$8,F421)))</formula>
      <formula>$H$8</formula>
    </cfRule>
    <cfRule type="containsText" dxfId="4069" priority="5454" operator="containsText" text="$H$8">
      <formula>NOT(ISERROR(SEARCH($H$8,F421)))</formula>
      <formula>$H$8</formula>
    </cfRule>
    <cfRule type="containsText" dxfId="4068" priority="5453" operator="containsText" text="$H$9">
      <formula>NOT(ISERROR(SEARCH($H$9,F421)))</formula>
      <formula>$H$9</formula>
    </cfRule>
    <cfRule type="containsText" dxfId="4067" priority="5452" operator="containsText" text="$H$10">
      <formula>NOT(ISERROR(SEARCH($H$10,F421)))</formula>
      <formula>$H$10</formula>
    </cfRule>
    <cfRule type="containsText" dxfId="4066" priority="5451" operator="containsText" text="$H$11">
      <formula>NOT(ISERROR(SEARCH($H$11,F421)))</formula>
      <formula>$H$11</formula>
    </cfRule>
    <cfRule type="containsText" dxfId="4065" priority="5450" operator="containsText" text="$H$12">
      <formula>NOT(ISERROR(SEARCH($H$12,F421)))</formula>
      <formula>$H$12</formula>
    </cfRule>
    <cfRule type="containsText" dxfId="4064" priority="5449" operator="containsText" text="$H$13">
      <formula>NOT(ISERROR(SEARCH($H$13,F421)))</formula>
      <formula>$H$13</formula>
    </cfRule>
  </conditionalFormatting>
  <conditionalFormatting sqref="F423">
    <cfRule type="containsText" dxfId="4063" priority="5448" operator="containsText" text="$H$7">
      <formula>NOT(ISERROR(SEARCH($H$7,F423)))</formula>
      <formula>$H$7</formula>
    </cfRule>
    <cfRule type="containsText" dxfId="4062" priority="5447" operator="containsText" text="$H$8">
      <formula>NOT(ISERROR(SEARCH($H$8,F423)))</formula>
      <formula>$H$8</formula>
    </cfRule>
    <cfRule type="containsText" dxfId="4061" priority="5446" operator="containsText" text="$H$8">
      <formula>NOT(ISERROR(SEARCH($H$8,F423)))</formula>
      <formula>$H$8</formula>
    </cfRule>
    <cfRule type="containsText" dxfId="4060" priority="5445" operator="containsText" text="$H$9">
      <formula>NOT(ISERROR(SEARCH($H$9,F423)))</formula>
      <formula>$H$9</formula>
    </cfRule>
    <cfRule type="containsText" dxfId="4059" priority="5444" operator="containsText" text="$H$10">
      <formula>NOT(ISERROR(SEARCH($H$10,F423)))</formula>
      <formula>$H$10</formula>
    </cfRule>
    <cfRule type="containsText" dxfId="4058" priority="5443" operator="containsText" text="$H$11">
      <formula>NOT(ISERROR(SEARCH($H$11,F423)))</formula>
      <formula>$H$11</formula>
    </cfRule>
    <cfRule type="containsText" dxfId="4057" priority="5442" operator="containsText" text="$H$12">
      <formula>NOT(ISERROR(SEARCH($H$12,F423)))</formula>
      <formula>$H$12</formula>
    </cfRule>
    <cfRule type="containsText" dxfId="4056" priority="5441" operator="containsText" text="$H$13">
      <formula>NOT(ISERROR(SEARCH($H$13,F423)))</formula>
      <formula>$H$13</formula>
    </cfRule>
  </conditionalFormatting>
  <conditionalFormatting sqref="F425">
    <cfRule type="containsText" dxfId="4055" priority="5440" operator="containsText" text="$H$7">
      <formula>NOT(ISERROR(SEARCH($H$7,F425)))</formula>
      <formula>$H$7</formula>
    </cfRule>
    <cfRule type="containsText" dxfId="4054" priority="5439" operator="containsText" text="$H$8">
      <formula>NOT(ISERROR(SEARCH($H$8,F425)))</formula>
      <formula>$H$8</formula>
    </cfRule>
    <cfRule type="containsText" dxfId="4053" priority="5438" operator="containsText" text="$H$8">
      <formula>NOT(ISERROR(SEARCH($H$8,F425)))</formula>
      <formula>$H$8</formula>
    </cfRule>
    <cfRule type="containsText" dxfId="4052" priority="5437" operator="containsText" text="$H$9">
      <formula>NOT(ISERROR(SEARCH($H$9,F425)))</formula>
      <formula>$H$9</formula>
    </cfRule>
    <cfRule type="containsText" dxfId="4051" priority="5436" operator="containsText" text="$H$10">
      <formula>NOT(ISERROR(SEARCH($H$10,F425)))</formula>
      <formula>$H$10</formula>
    </cfRule>
    <cfRule type="containsText" dxfId="4050" priority="5435" operator="containsText" text="$H$11">
      <formula>NOT(ISERROR(SEARCH($H$11,F425)))</formula>
      <formula>$H$11</formula>
    </cfRule>
    <cfRule type="containsText" dxfId="4049" priority="5434" operator="containsText" text="$H$12">
      <formula>NOT(ISERROR(SEARCH($H$12,F425)))</formula>
      <formula>$H$12</formula>
    </cfRule>
    <cfRule type="containsText" dxfId="4048" priority="5433" operator="containsText" text="$H$13">
      <formula>NOT(ISERROR(SEARCH($H$13,F425)))</formula>
      <formula>$H$13</formula>
    </cfRule>
  </conditionalFormatting>
  <conditionalFormatting sqref="B439">
    <cfRule type="containsText" dxfId="4047" priority="5424" operator="containsText" text="$H$7">
      <formula>NOT(ISERROR(SEARCH($H$7,B439)))</formula>
      <formula>$H$7</formula>
    </cfRule>
    <cfRule type="containsText" dxfId="4046" priority="5423" operator="containsText" text="$H$8">
      <formula>NOT(ISERROR(SEARCH($H$8,B439)))</formula>
      <formula>$H$8</formula>
    </cfRule>
    <cfRule type="containsText" dxfId="4045" priority="5422" operator="containsText" text="$H$8">
      <formula>NOT(ISERROR(SEARCH($H$8,B439)))</formula>
      <formula>$H$8</formula>
    </cfRule>
    <cfRule type="containsText" dxfId="4044" priority="5421" operator="containsText" text="$H$9">
      <formula>NOT(ISERROR(SEARCH($H$9,B439)))</formula>
      <formula>$H$9</formula>
    </cfRule>
    <cfRule type="containsText" dxfId="4043" priority="5420" operator="containsText" text="$H$10">
      <formula>NOT(ISERROR(SEARCH($H$10,B439)))</formula>
      <formula>$H$10</formula>
    </cfRule>
    <cfRule type="containsText" dxfId="4042" priority="5419" operator="containsText" text="$H$11">
      <formula>NOT(ISERROR(SEARCH($H$11,B439)))</formula>
      <formula>$H$11</formula>
    </cfRule>
    <cfRule type="containsText" dxfId="4041" priority="5418" operator="containsText" text="$H$12">
      <formula>NOT(ISERROR(SEARCH($H$12,B439)))</formula>
      <formula>$H$12</formula>
    </cfRule>
    <cfRule type="containsText" dxfId="4040" priority="5417" operator="containsText" text="$H$13">
      <formula>NOT(ISERROR(SEARCH($H$13,B439)))</formula>
      <formula>$H$13</formula>
    </cfRule>
  </conditionalFormatting>
  <conditionalFormatting sqref="B441">
    <cfRule type="containsText" dxfId="4039" priority="5416" operator="containsText" text="$H$7">
      <formula>NOT(ISERROR(SEARCH($H$7,B441)))</formula>
      <formula>$H$7</formula>
    </cfRule>
    <cfRule type="containsText" dxfId="4038" priority="5415" operator="containsText" text="$H$8">
      <formula>NOT(ISERROR(SEARCH($H$8,B441)))</formula>
      <formula>$H$8</formula>
    </cfRule>
    <cfRule type="containsText" dxfId="4037" priority="5414" operator="containsText" text="$H$8">
      <formula>NOT(ISERROR(SEARCH($H$8,B441)))</formula>
      <formula>$H$8</formula>
    </cfRule>
    <cfRule type="containsText" dxfId="4036" priority="5413" operator="containsText" text="$H$9">
      <formula>NOT(ISERROR(SEARCH($H$9,B441)))</formula>
      <formula>$H$9</formula>
    </cfRule>
    <cfRule type="containsText" dxfId="4035" priority="5412" operator="containsText" text="$H$10">
      <formula>NOT(ISERROR(SEARCH($H$10,B441)))</formula>
      <formula>$H$10</formula>
    </cfRule>
    <cfRule type="containsText" dxfId="4034" priority="5411" operator="containsText" text="$H$11">
      <formula>NOT(ISERROR(SEARCH($H$11,B441)))</formula>
      <formula>$H$11</formula>
    </cfRule>
    <cfRule type="containsText" dxfId="4033" priority="5410" operator="containsText" text="$H$12">
      <formula>NOT(ISERROR(SEARCH($H$12,B441)))</formula>
      <formula>$H$12</formula>
    </cfRule>
    <cfRule type="containsText" dxfId="4032" priority="5409" operator="containsText" text="$H$13">
      <formula>NOT(ISERROR(SEARCH($H$13,B441)))</formula>
      <formula>$H$13</formula>
    </cfRule>
  </conditionalFormatting>
  <conditionalFormatting sqref="B443">
    <cfRule type="containsText" dxfId="4031" priority="5408" operator="containsText" text="$H$7">
      <formula>NOT(ISERROR(SEARCH($H$7,B443)))</formula>
      <formula>$H$7</formula>
    </cfRule>
    <cfRule type="containsText" dxfId="4030" priority="5407" operator="containsText" text="$H$8">
      <formula>NOT(ISERROR(SEARCH($H$8,B443)))</formula>
      <formula>$H$8</formula>
    </cfRule>
    <cfRule type="containsText" dxfId="4029" priority="5406" operator="containsText" text="$H$8">
      <formula>NOT(ISERROR(SEARCH($H$8,B443)))</formula>
      <formula>$H$8</formula>
    </cfRule>
    <cfRule type="containsText" dxfId="4028" priority="5405" operator="containsText" text="$H$9">
      <formula>NOT(ISERROR(SEARCH($H$9,B443)))</formula>
      <formula>$H$9</formula>
    </cfRule>
    <cfRule type="containsText" dxfId="4027" priority="5404" operator="containsText" text="$H$10">
      <formula>NOT(ISERROR(SEARCH($H$10,B443)))</formula>
      <formula>$H$10</formula>
    </cfRule>
    <cfRule type="containsText" dxfId="4026" priority="5403" operator="containsText" text="$H$11">
      <formula>NOT(ISERROR(SEARCH($H$11,B443)))</formula>
      <formula>$H$11</formula>
    </cfRule>
    <cfRule type="containsText" dxfId="4025" priority="5402" operator="containsText" text="$H$12">
      <formula>NOT(ISERROR(SEARCH($H$12,B443)))</formula>
      <formula>$H$12</formula>
    </cfRule>
    <cfRule type="containsText" dxfId="4024" priority="5401" operator="containsText" text="$H$13">
      <formula>NOT(ISERROR(SEARCH($H$13,B443)))</formula>
      <formula>$H$13</formula>
    </cfRule>
  </conditionalFormatting>
  <conditionalFormatting sqref="B445">
    <cfRule type="containsText" dxfId="4023" priority="5400" operator="containsText" text="$H$7">
      <formula>NOT(ISERROR(SEARCH($H$7,B445)))</formula>
      <formula>$H$7</formula>
    </cfRule>
    <cfRule type="containsText" dxfId="4022" priority="5399" operator="containsText" text="$H$8">
      <formula>NOT(ISERROR(SEARCH($H$8,B445)))</formula>
      <formula>$H$8</formula>
    </cfRule>
    <cfRule type="containsText" dxfId="4021" priority="5398" operator="containsText" text="$H$8">
      <formula>NOT(ISERROR(SEARCH($H$8,B445)))</formula>
      <formula>$H$8</formula>
    </cfRule>
    <cfRule type="containsText" dxfId="4020" priority="5397" operator="containsText" text="$H$9">
      <formula>NOT(ISERROR(SEARCH($H$9,B445)))</formula>
      <formula>$H$9</formula>
    </cfRule>
    <cfRule type="containsText" dxfId="4019" priority="5396" operator="containsText" text="$H$10">
      <formula>NOT(ISERROR(SEARCH($H$10,B445)))</formula>
      <formula>$H$10</formula>
    </cfRule>
    <cfRule type="containsText" dxfId="4018" priority="5395" operator="containsText" text="$H$11">
      <formula>NOT(ISERROR(SEARCH($H$11,B445)))</formula>
      <formula>$H$11</formula>
    </cfRule>
    <cfRule type="containsText" dxfId="4017" priority="5394" operator="containsText" text="$H$12">
      <formula>NOT(ISERROR(SEARCH($H$12,B445)))</formula>
      <formula>$H$12</formula>
    </cfRule>
    <cfRule type="containsText" dxfId="4016" priority="5393" operator="containsText" text="$H$13">
      <formula>NOT(ISERROR(SEARCH($H$13,B445)))</formula>
      <formula>$H$13</formula>
    </cfRule>
  </conditionalFormatting>
  <conditionalFormatting sqref="D447">
    <cfRule type="containsText" dxfId="4015" priority="5392" operator="containsText" text="$H$7">
      <formula>NOT(ISERROR(SEARCH($H$7,D447)))</formula>
      <formula>$H$7</formula>
    </cfRule>
    <cfRule type="containsText" dxfId="4014" priority="5391" operator="containsText" text="$H$8">
      <formula>NOT(ISERROR(SEARCH($H$8,D447)))</formula>
      <formula>$H$8</formula>
    </cfRule>
    <cfRule type="containsText" dxfId="4013" priority="5390" operator="containsText" text="$H$8">
      <formula>NOT(ISERROR(SEARCH($H$8,D447)))</formula>
      <formula>$H$8</formula>
    </cfRule>
    <cfRule type="containsText" dxfId="4012" priority="5389" operator="containsText" text="$H$9">
      <formula>NOT(ISERROR(SEARCH($H$9,D447)))</formula>
      <formula>$H$9</formula>
    </cfRule>
    <cfRule type="containsText" dxfId="4011" priority="5388" operator="containsText" text="$H$10">
      <formula>NOT(ISERROR(SEARCH($H$10,D447)))</formula>
      <formula>$H$10</formula>
    </cfRule>
    <cfRule type="containsText" dxfId="4010" priority="5387" operator="containsText" text="$H$11">
      <formula>NOT(ISERROR(SEARCH($H$11,D447)))</formula>
      <formula>$H$11</formula>
    </cfRule>
    <cfRule type="containsText" dxfId="4009" priority="5386" operator="containsText" text="$H$12">
      <formula>NOT(ISERROR(SEARCH($H$12,D447)))</formula>
      <formula>$H$12</formula>
    </cfRule>
    <cfRule type="containsText" dxfId="4008" priority="5385" operator="containsText" text="$H$13">
      <formula>NOT(ISERROR(SEARCH($H$13,D447)))</formula>
      <formula>$H$13</formula>
    </cfRule>
  </conditionalFormatting>
  <conditionalFormatting sqref="D449">
    <cfRule type="containsText" dxfId="4007" priority="5384" operator="containsText" text="$H$7">
      <formula>NOT(ISERROR(SEARCH($H$7,D449)))</formula>
      <formula>$H$7</formula>
    </cfRule>
    <cfRule type="containsText" dxfId="4006" priority="5383" operator="containsText" text="$H$8">
      <formula>NOT(ISERROR(SEARCH($H$8,D449)))</formula>
      <formula>$H$8</formula>
    </cfRule>
    <cfRule type="containsText" dxfId="4005" priority="5382" operator="containsText" text="$H$8">
      <formula>NOT(ISERROR(SEARCH($H$8,D449)))</formula>
      <formula>$H$8</formula>
    </cfRule>
    <cfRule type="containsText" dxfId="4004" priority="5381" operator="containsText" text="$H$9">
      <formula>NOT(ISERROR(SEARCH($H$9,D449)))</formula>
      <formula>$H$9</formula>
    </cfRule>
    <cfRule type="containsText" dxfId="4003" priority="5380" operator="containsText" text="$H$10">
      <formula>NOT(ISERROR(SEARCH($H$10,D449)))</formula>
      <formula>$H$10</formula>
    </cfRule>
    <cfRule type="containsText" dxfId="4002" priority="5379" operator="containsText" text="$H$11">
      <formula>NOT(ISERROR(SEARCH($H$11,D449)))</formula>
      <formula>$H$11</formula>
    </cfRule>
    <cfRule type="containsText" dxfId="4001" priority="5378" operator="containsText" text="$H$12">
      <formula>NOT(ISERROR(SEARCH($H$12,D449)))</formula>
      <formula>$H$12</formula>
    </cfRule>
    <cfRule type="containsText" dxfId="4000" priority="5377" operator="containsText" text="$H$13">
      <formula>NOT(ISERROR(SEARCH($H$13,D449)))</formula>
      <formula>$H$13</formula>
    </cfRule>
  </conditionalFormatting>
  <conditionalFormatting sqref="D451">
    <cfRule type="containsText" dxfId="3999" priority="5376" operator="containsText" text="$H$7">
      <formula>NOT(ISERROR(SEARCH($H$7,D451)))</formula>
      <formula>$H$7</formula>
    </cfRule>
    <cfRule type="containsText" dxfId="3998" priority="5375" operator="containsText" text="$H$8">
      <formula>NOT(ISERROR(SEARCH($H$8,D451)))</formula>
      <formula>$H$8</formula>
    </cfRule>
    <cfRule type="containsText" dxfId="3997" priority="5374" operator="containsText" text="$H$8">
      <formula>NOT(ISERROR(SEARCH($H$8,D451)))</formula>
      <formula>$H$8</formula>
    </cfRule>
    <cfRule type="containsText" dxfId="3996" priority="5373" operator="containsText" text="$H$9">
      <formula>NOT(ISERROR(SEARCH($H$9,D451)))</formula>
      <formula>$H$9</formula>
    </cfRule>
    <cfRule type="containsText" dxfId="3995" priority="5372" operator="containsText" text="$H$10">
      <formula>NOT(ISERROR(SEARCH($H$10,D451)))</formula>
      <formula>$H$10</formula>
    </cfRule>
    <cfRule type="containsText" dxfId="3994" priority="5371" operator="containsText" text="$H$11">
      <formula>NOT(ISERROR(SEARCH($H$11,D451)))</formula>
      <formula>$H$11</formula>
    </cfRule>
    <cfRule type="containsText" dxfId="3993" priority="5370" operator="containsText" text="$H$12">
      <formula>NOT(ISERROR(SEARCH($H$12,D451)))</formula>
      <formula>$H$12</formula>
    </cfRule>
    <cfRule type="containsText" dxfId="3992" priority="5369" operator="containsText" text="$H$13">
      <formula>NOT(ISERROR(SEARCH($H$13,D451)))</formula>
      <formula>$H$13</formula>
    </cfRule>
  </conditionalFormatting>
  <conditionalFormatting sqref="D453">
    <cfRule type="containsText" dxfId="3991" priority="5368" operator="containsText" text="$H$7">
      <formula>NOT(ISERROR(SEARCH($H$7,D453)))</formula>
      <formula>$H$7</formula>
    </cfRule>
    <cfRule type="containsText" dxfId="3990" priority="5367" operator="containsText" text="$H$8">
      <formula>NOT(ISERROR(SEARCH($H$8,D453)))</formula>
      <formula>$H$8</formula>
    </cfRule>
    <cfRule type="containsText" dxfId="3989" priority="5366" operator="containsText" text="$H$8">
      <formula>NOT(ISERROR(SEARCH($H$8,D453)))</formula>
      <formula>$H$8</formula>
    </cfRule>
    <cfRule type="containsText" dxfId="3988" priority="5365" operator="containsText" text="$H$9">
      <formula>NOT(ISERROR(SEARCH($H$9,D453)))</formula>
      <formula>$H$9</formula>
    </cfRule>
    <cfRule type="containsText" dxfId="3987" priority="5364" operator="containsText" text="$H$10">
      <formula>NOT(ISERROR(SEARCH($H$10,D453)))</formula>
      <formula>$H$10</formula>
    </cfRule>
    <cfRule type="containsText" dxfId="3986" priority="5363" operator="containsText" text="$H$11">
      <formula>NOT(ISERROR(SEARCH($H$11,D453)))</formula>
      <formula>$H$11</formula>
    </cfRule>
    <cfRule type="containsText" dxfId="3985" priority="5362" operator="containsText" text="$H$12">
      <formula>NOT(ISERROR(SEARCH($H$12,D453)))</formula>
      <formula>$H$12</formula>
    </cfRule>
    <cfRule type="containsText" dxfId="3984" priority="5361" operator="containsText" text="$H$13">
      <formula>NOT(ISERROR(SEARCH($H$13,D453)))</formula>
      <formula>$H$13</formula>
    </cfRule>
  </conditionalFormatting>
  <conditionalFormatting sqref="F321">
    <cfRule type="containsText" dxfId="3983" priority="5360" operator="containsText" text="$H$7">
      <formula>NOT(ISERROR(SEARCH($H$7,F321)))</formula>
      <formula>$H$7</formula>
    </cfRule>
    <cfRule type="containsText" dxfId="3982" priority="5359" operator="containsText" text="$H$8">
      <formula>NOT(ISERROR(SEARCH($H$8,F321)))</formula>
      <formula>$H$8</formula>
    </cfRule>
    <cfRule type="containsText" dxfId="3981" priority="5358" operator="containsText" text="$H$8">
      <formula>NOT(ISERROR(SEARCH($H$8,F321)))</formula>
      <formula>$H$8</formula>
    </cfRule>
    <cfRule type="containsText" dxfId="3980" priority="5357" operator="containsText" text="$H$9">
      <formula>NOT(ISERROR(SEARCH($H$9,F321)))</formula>
      <formula>$H$9</formula>
    </cfRule>
    <cfRule type="containsText" dxfId="3979" priority="5356" operator="containsText" text="$H$10">
      <formula>NOT(ISERROR(SEARCH($H$10,F321)))</formula>
      <formula>$H$10</formula>
    </cfRule>
    <cfRule type="containsText" dxfId="3978" priority="5355" operator="containsText" text="$H$11">
      <formula>NOT(ISERROR(SEARCH($H$11,F321)))</formula>
      <formula>$H$11</formula>
    </cfRule>
    <cfRule type="containsText" dxfId="3977" priority="5354" operator="containsText" text="$H$12">
      <formula>NOT(ISERROR(SEARCH($H$12,F321)))</formula>
      <formula>$H$12</formula>
    </cfRule>
    <cfRule type="containsText" dxfId="3976" priority="5353" operator="containsText" text="$H$13">
      <formula>NOT(ISERROR(SEARCH($H$13,F321)))</formula>
      <formula>$H$13</formula>
    </cfRule>
  </conditionalFormatting>
  <conditionalFormatting sqref="F321">
    <cfRule type="containsText" dxfId="3975" priority="5352" operator="containsText" text="$H$7">
      <formula>NOT(ISERROR(SEARCH($H$7,F321)))</formula>
      <formula>$H$7</formula>
    </cfRule>
    <cfRule type="containsText" dxfId="3974" priority="5351" operator="containsText" text="$H$8">
      <formula>NOT(ISERROR(SEARCH($H$8,F321)))</formula>
      <formula>$H$8</formula>
    </cfRule>
    <cfRule type="containsText" dxfId="3973" priority="5350" operator="containsText" text="$H$8">
      <formula>NOT(ISERROR(SEARCH($H$8,F321)))</formula>
      <formula>$H$8</formula>
    </cfRule>
    <cfRule type="containsText" dxfId="3972" priority="5349" operator="containsText" text="$H$9">
      <formula>NOT(ISERROR(SEARCH($H$9,F321)))</formula>
      <formula>$H$9</formula>
    </cfRule>
    <cfRule type="containsText" dxfId="3971" priority="5348" operator="containsText" text="$H$10">
      <formula>NOT(ISERROR(SEARCH($H$10,F321)))</formula>
      <formula>$H$10</formula>
    </cfRule>
    <cfRule type="containsText" dxfId="3970" priority="5347" operator="containsText" text="$H$11">
      <formula>NOT(ISERROR(SEARCH($H$11,F321)))</formula>
      <formula>$H$11</formula>
    </cfRule>
    <cfRule type="containsText" dxfId="3969" priority="5346" operator="containsText" text="$H$12">
      <formula>NOT(ISERROR(SEARCH($H$12,F321)))</formula>
      <formula>$H$12</formula>
    </cfRule>
    <cfRule type="containsText" dxfId="3968" priority="5345" operator="containsText" text="$H$13">
      <formula>NOT(ISERROR(SEARCH($H$13,F321)))</formula>
      <formula>$H$13</formula>
    </cfRule>
  </conditionalFormatting>
  <conditionalFormatting sqref="F323">
    <cfRule type="containsText" dxfId="3967" priority="5344" operator="containsText" text="$H$7">
      <formula>NOT(ISERROR(SEARCH($H$7,F323)))</formula>
      <formula>$H$7</formula>
    </cfRule>
    <cfRule type="containsText" dxfId="3966" priority="5343" operator="containsText" text="$H$8">
      <formula>NOT(ISERROR(SEARCH($H$8,F323)))</formula>
      <formula>$H$8</formula>
    </cfRule>
    <cfRule type="containsText" dxfId="3965" priority="5342" operator="containsText" text="$H$8">
      <formula>NOT(ISERROR(SEARCH($H$8,F323)))</formula>
      <formula>$H$8</formula>
    </cfRule>
    <cfRule type="containsText" dxfId="3964" priority="5341" operator="containsText" text="$H$9">
      <formula>NOT(ISERROR(SEARCH($H$9,F323)))</formula>
      <formula>$H$9</formula>
    </cfRule>
    <cfRule type="containsText" dxfId="3963" priority="5340" operator="containsText" text="$H$10">
      <formula>NOT(ISERROR(SEARCH($H$10,F323)))</formula>
      <formula>$H$10</formula>
    </cfRule>
    <cfRule type="containsText" dxfId="3962" priority="5339" operator="containsText" text="$H$11">
      <formula>NOT(ISERROR(SEARCH($H$11,F323)))</formula>
      <formula>$H$11</formula>
    </cfRule>
    <cfRule type="containsText" dxfId="3961" priority="5338" operator="containsText" text="$H$12">
      <formula>NOT(ISERROR(SEARCH($H$12,F323)))</formula>
      <formula>$H$12</formula>
    </cfRule>
    <cfRule type="containsText" dxfId="3960" priority="5337" operator="containsText" text="$H$13">
      <formula>NOT(ISERROR(SEARCH($H$13,F323)))</formula>
      <formula>$H$13</formula>
    </cfRule>
  </conditionalFormatting>
  <conditionalFormatting sqref="F323">
    <cfRule type="containsText" dxfId="3959" priority="5336" operator="containsText" text="$H$7">
      <formula>NOT(ISERROR(SEARCH($H$7,F323)))</formula>
      <formula>$H$7</formula>
    </cfRule>
    <cfRule type="containsText" dxfId="3958" priority="5335" operator="containsText" text="$H$8">
      <formula>NOT(ISERROR(SEARCH($H$8,F323)))</formula>
      <formula>$H$8</formula>
    </cfRule>
    <cfRule type="containsText" dxfId="3957" priority="5334" operator="containsText" text="$H$8">
      <formula>NOT(ISERROR(SEARCH($H$8,F323)))</formula>
      <formula>$H$8</formula>
    </cfRule>
    <cfRule type="containsText" dxfId="3956" priority="5333" operator="containsText" text="$H$9">
      <formula>NOT(ISERROR(SEARCH($H$9,F323)))</formula>
      <formula>$H$9</formula>
    </cfRule>
    <cfRule type="containsText" dxfId="3955" priority="5332" operator="containsText" text="$H$10">
      <formula>NOT(ISERROR(SEARCH($H$10,F323)))</formula>
      <formula>$H$10</formula>
    </cfRule>
    <cfRule type="containsText" dxfId="3954" priority="5331" operator="containsText" text="$H$11">
      <formula>NOT(ISERROR(SEARCH($H$11,F323)))</formula>
      <formula>$H$11</formula>
    </cfRule>
    <cfRule type="containsText" dxfId="3953" priority="5330" operator="containsText" text="$H$12">
      <formula>NOT(ISERROR(SEARCH($H$12,F323)))</formula>
      <formula>$H$12</formula>
    </cfRule>
    <cfRule type="containsText" dxfId="3952" priority="5329" operator="containsText" text="$H$13">
      <formula>NOT(ISERROR(SEARCH($H$13,F323)))</formula>
      <formula>$H$13</formula>
    </cfRule>
  </conditionalFormatting>
  <conditionalFormatting sqref="F325">
    <cfRule type="containsText" dxfId="3951" priority="5328" operator="containsText" text="$H$7">
      <formula>NOT(ISERROR(SEARCH($H$7,F325)))</formula>
      <formula>$H$7</formula>
    </cfRule>
    <cfRule type="containsText" dxfId="3950" priority="5327" operator="containsText" text="$H$8">
      <formula>NOT(ISERROR(SEARCH($H$8,F325)))</formula>
      <formula>$H$8</formula>
    </cfRule>
    <cfRule type="containsText" dxfId="3949" priority="5326" operator="containsText" text="$H$8">
      <formula>NOT(ISERROR(SEARCH($H$8,F325)))</formula>
      <formula>$H$8</formula>
    </cfRule>
    <cfRule type="containsText" dxfId="3948" priority="5325" operator="containsText" text="$H$9">
      <formula>NOT(ISERROR(SEARCH($H$9,F325)))</formula>
      <formula>$H$9</formula>
    </cfRule>
    <cfRule type="containsText" dxfId="3947" priority="5324" operator="containsText" text="$H$10">
      <formula>NOT(ISERROR(SEARCH($H$10,F325)))</formula>
      <formula>$H$10</formula>
    </cfRule>
    <cfRule type="containsText" dxfId="3946" priority="5323" operator="containsText" text="$H$11">
      <formula>NOT(ISERROR(SEARCH($H$11,F325)))</formula>
      <formula>$H$11</formula>
    </cfRule>
    <cfRule type="containsText" dxfId="3945" priority="5322" operator="containsText" text="$H$12">
      <formula>NOT(ISERROR(SEARCH($H$12,F325)))</formula>
      <formula>$H$12</formula>
    </cfRule>
    <cfRule type="containsText" dxfId="3944" priority="5321" operator="containsText" text="$H$13">
      <formula>NOT(ISERROR(SEARCH($H$13,F325)))</formula>
      <formula>$H$13</formula>
    </cfRule>
  </conditionalFormatting>
  <conditionalFormatting sqref="F325">
    <cfRule type="containsText" dxfId="3943" priority="5320" operator="containsText" text="$H$7">
      <formula>NOT(ISERROR(SEARCH($H$7,F325)))</formula>
      <formula>$H$7</formula>
    </cfRule>
    <cfRule type="containsText" dxfId="3942" priority="5319" operator="containsText" text="$H$8">
      <formula>NOT(ISERROR(SEARCH($H$8,F325)))</formula>
      <formula>$H$8</formula>
    </cfRule>
    <cfRule type="containsText" dxfId="3941" priority="5318" operator="containsText" text="$H$8">
      <formula>NOT(ISERROR(SEARCH($H$8,F325)))</formula>
      <formula>$H$8</formula>
    </cfRule>
    <cfRule type="containsText" dxfId="3940" priority="5317" operator="containsText" text="$H$9">
      <formula>NOT(ISERROR(SEARCH($H$9,F325)))</formula>
      <formula>$H$9</formula>
    </cfRule>
    <cfRule type="containsText" dxfId="3939" priority="5316" operator="containsText" text="$H$10">
      <formula>NOT(ISERROR(SEARCH($H$10,F325)))</formula>
      <formula>$H$10</formula>
    </cfRule>
    <cfRule type="containsText" dxfId="3938" priority="5315" operator="containsText" text="$H$11">
      <formula>NOT(ISERROR(SEARCH($H$11,F325)))</formula>
      <formula>$H$11</formula>
    </cfRule>
    <cfRule type="containsText" dxfId="3937" priority="5314" operator="containsText" text="$H$12">
      <formula>NOT(ISERROR(SEARCH($H$12,F325)))</formula>
      <formula>$H$12</formula>
    </cfRule>
    <cfRule type="containsText" dxfId="3936" priority="5313" operator="containsText" text="$H$13">
      <formula>NOT(ISERROR(SEARCH($H$13,F325)))</formula>
      <formula>$H$13</formula>
    </cfRule>
  </conditionalFormatting>
  <conditionalFormatting sqref="F327">
    <cfRule type="containsText" dxfId="3935" priority="5312" operator="containsText" text="$H$7">
      <formula>NOT(ISERROR(SEARCH($H$7,F327)))</formula>
      <formula>$H$7</formula>
    </cfRule>
    <cfRule type="containsText" dxfId="3934" priority="5311" operator="containsText" text="$H$8">
      <formula>NOT(ISERROR(SEARCH($H$8,F327)))</formula>
      <formula>$H$8</formula>
    </cfRule>
    <cfRule type="containsText" dxfId="3933" priority="5310" operator="containsText" text="$H$8">
      <formula>NOT(ISERROR(SEARCH($H$8,F327)))</formula>
      <formula>$H$8</formula>
    </cfRule>
    <cfRule type="containsText" dxfId="3932" priority="5309" operator="containsText" text="$H$9">
      <formula>NOT(ISERROR(SEARCH($H$9,F327)))</formula>
      <formula>$H$9</formula>
    </cfRule>
    <cfRule type="containsText" dxfId="3931" priority="5308" operator="containsText" text="$H$10">
      <formula>NOT(ISERROR(SEARCH($H$10,F327)))</formula>
      <formula>$H$10</formula>
    </cfRule>
    <cfRule type="containsText" dxfId="3930" priority="5307" operator="containsText" text="$H$11">
      <formula>NOT(ISERROR(SEARCH($H$11,F327)))</formula>
      <formula>$H$11</formula>
    </cfRule>
    <cfRule type="containsText" dxfId="3929" priority="5306" operator="containsText" text="$H$12">
      <formula>NOT(ISERROR(SEARCH($H$12,F327)))</formula>
      <formula>$H$12</formula>
    </cfRule>
    <cfRule type="containsText" dxfId="3928" priority="5305" operator="containsText" text="$H$13">
      <formula>NOT(ISERROR(SEARCH($H$13,F327)))</formula>
      <formula>$H$13</formula>
    </cfRule>
  </conditionalFormatting>
  <conditionalFormatting sqref="F327">
    <cfRule type="containsText" dxfId="3927" priority="5304" operator="containsText" text="$H$7">
      <formula>NOT(ISERROR(SEARCH($H$7,F327)))</formula>
      <formula>$H$7</formula>
    </cfRule>
    <cfRule type="containsText" dxfId="3926" priority="5303" operator="containsText" text="$H$8">
      <formula>NOT(ISERROR(SEARCH($H$8,F327)))</formula>
      <formula>$H$8</formula>
    </cfRule>
    <cfRule type="containsText" dxfId="3925" priority="5302" operator="containsText" text="$H$8">
      <formula>NOT(ISERROR(SEARCH($H$8,F327)))</formula>
      <formula>$H$8</formula>
    </cfRule>
    <cfRule type="containsText" dxfId="3924" priority="5301" operator="containsText" text="$H$9">
      <formula>NOT(ISERROR(SEARCH($H$9,F327)))</formula>
      <formula>$H$9</formula>
    </cfRule>
    <cfRule type="containsText" dxfId="3923" priority="5300" operator="containsText" text="$H$10">
      <formula>NOT(ISERROR(SEARCH($H$10,F327)))</formula>
      <formula>$H$10</formula>
    </cfRule>
    <cfRule type="containsText" dxfId="3922" priority="5299" operator="containsText" text="$H$11">
      <formula>NOT(ISERROR(SEARCH($H$11,F327)))</formula>
      <formula>$H$11</formula>
    </cfRule>
    <cfRule type="containsText" dxfId="3921" priority="5298" operator="containsText" text="$H$12">
      <formula>NOT(ISERROR(SEARCH($H$12,F327)))</formula>
      <formula>$H$12</formula>
    </cfRule>
    <cfRule type="containsText" dxfId="3920" priority="5297" operator="containsText" text="$H$13">
      <formula>NOT(ISERROR(SEARCH($H$13,F327)))</formula>
      <formula>$H$13</formula>
    </cfRule>
  </conditionalFormatting>
  <conditionalFormatting sqref="D320 D326 D324 D322">
    <cfRule type="containsText" dxfId="3919" priority="5168" operator="containsText" text="$H$7">
      <formula>NOT(ISERROR(SEARCH($H$7,D320)))</formula>
      <formula>$H$7</formula>
    </cfRule>
    <cfRule type="containsText" dxfId="3918" priority="5167" operator="containsText" text="$H$8">
      <formula>NOT(ISERROR(SEARCH($H$8,D320)))</formula>
      <formula>$H$8</formula>
    </cfRule>
    <cfRule type="containsText" dxfId="3917" priority="5166" operator="containsText" text="$H$8">
      <formula>NOT(ISERROR(SEARCH($H$8,D320)))</formula>
      <formula>$H$8</formula>
    </cfRule>
    <cfRule type="containsText" dxfId="3916" priority="5165" operator="containsText" text="$H$9">
      <formula>NOT(ISERROR(SEARCH($H$9,D320)))</formula>
      <formula>$H$9</formula>
    </cfRule>
    <cfRule type="containsText" dxfId="3915" priority="5164" operator="containsText" text="$H$10">
      <formula>NOT(ISERROR(SEARCH($H$10,D320)))</formula>
      <formula>$H$10</formula>
    </cfRule>
    <cfRule type="containsText" dxfId="3914" priority="5163" operator="containsText" text="$H$11">
      <formula>NOT(ISERROR(SEARCH($H$11,D320)))</formula>
      <formula>$H$11</formula>
    </cfRule>
    <cfRule type="containsText" dxfId="3913" priority="5162" operator="containsText" text="$H$12">
      <formula>NOT(ISERROR(SEARCH($H$12,D320)))</formula>
      <formula>$H$12</formula>
    </cfRule>
    <cfRule type="containsText" dxfId="3912" priority="5161" operator="containsText" text="$H$13">
      <formula>NOT(ISERROR(SEARCH($H$13,D320)))</formula>
      <formula>$H$13</formula>
    </cfRule>
  </conditionalFormatting>
  <conditionalFormatting sqref="D320 D326 D324 D322">
    <cfRule type="containsText" dxfId="3911" priority="5160" operator="containsText" text="$H$7">
      <formula>NOT(ISERROR(SEARCH($H$7,D320)))</formula>
      <formula>$H$7</formula>
    </cfRule>
    <cfRule type="containsText" dxfId="3910" priority="5159" operator="containsText" text="$H$8">
      <formula>NOT(ISERROR(SEARCH($H$8,D320)))</formula>
      <formula>$H$8</formula>
    </cfRule>
    <cfRule type="containsText" dxfId="3909" priority="5158" operator="containsText" text="$H$8">
      <formula>NOT(ISERROR(SEARCH($H$8,D320)))</formula>
      <formula>$H$8</formula>
    </cfRule>
    <cfRule type="containsText" dxfId="3908" priority="5157" operator="containsText" text="$H$9">
      <formula>NOT(ISERROR(SEARCH($H$9,D320)))</formula>
      <formula>$H$9</formula>
    </cfRule>
    <cfRule type="containsText" dxfId="3907" priority="5156" operator="containsText" text="$H$10">
      <formula>NOT(ISERROR(SEARCH($H$10,D320)))</formula>
      <formula>$H$10</formula>
    </cfRule>
    <cfRule type="containsText" dxfId="3906" priority="5155" operator="containsText" text="$H$11">
      <formula>NOT(ISERROR(SEARCH($H$11,D320)))</formula>
      <formula>$H$11</formula>
    </cfRule>
    <cfRule type="containsText" dxfId="3905" priority="5154" operator="containsText" text="$H$12">
      <formula>NOT(ISERROR(SEARCH($H$12,D320)))</formula>
      <formula>$H$12</formula>
    </cfRule>
    <cfRule type="containsText" dxfId="3904" priority="5153" operator="containsText" text="$H$13">
      <formula>NOT(ISERROR(SEARCH($H$13,D320)))</formula>
      <formula>$H$13</formula>
    </cfRule>
  </conditionalFormatting>
  <conditionalFormatting sqref="D321">
    <cfRule type="containsText" dxfId="3903" priority="5152" operator="containsText" text="$H$7">
      <formula>NOT(ISERROR(SEARCH($H$7,D321)))</formula>
      <formula>$H$7</formula>
    </cfRule>
    <cfRule type="containsText" dxfId="3902" priority="5151" operator="containsText" text="$H$8">
      <formula>NOT(ISERROR(SEARCH($H$8,D321)))</formula>
      <formula>$H$8</formula>
    </cfRule>
    <cfRule type="containsText" dxfId="3901" priority="5150" operator="containsText" text="$H$8">
      <formula>NOT(ISERROR(SEARCH($H$8,D321)))</formula>
      <formula>$H$8</formula>
    </cfRule>
    <cfRule type="containsText" dxfId="3900" priority="5149" operator="containsText" text="$H$9">
      <formula>NOT(ISERROR(SEARCH($H$9,D321)))</formula>
      <formula>$H$9</formula>
    </cfRule>
    <cfRule type="containsText" dxfId="3899" priority="5148" operator="containsText" text="$H$10">
      <formula>NOT(ISERROR(SEARCH($H$10,D321)))</formula>
      <formula>$H$10</formula>
    </cfRule>
    <cfRule type="containsText" dxfId="3898" priority="5147" operator="containsText" text="$H$11">
      <formula>NOT(ISERROR(SEARCH($H$11,D321)))</formula>
      <formula>$H$11</formula>
    </cfRule>
    <cfRule type="containsText" dxfId="3897" priority="5146" operator="containsText" text="$H$12">
      <formula>NOT(ISERROR(SEARCH($H$12,D321)))</formula>
      <formula>$H$12</formula>
    </cfRule>
    <cfRule type="containsText" dxfId="3896" priority="5145" operator="containsText" text="$H$13">
      <formula>NOT(ISERROR(SEARCH($H$13,D321)))</formula>
      <formula>$H$13</formula>
    </cfRule>
  </conditionalFormatting>
  <conditionalFormatting sqref="D321">
    <cfRule type="containsText" dxfId="3895" priority="5144" operator="containsText" text="$H$7">
      <formula>NOT(ISERROR(SEARCH($H$7,D321)))</formula>
      <formula>$H$7</formula>
    </cfRule>
    <cfRule type="containsText" dxfId="3894" priority="5143" operator="containsText" text="$H$8">
      <formula>NOT(ISERROR(SEARCH($H$8,D321)))</formula>
      <formula>$H$8</formula>
    </cfRule>
    <cfRule type="containsText" dxfId="3893" priority="5142" operator="containsText" text="$H$8">
      <formula>NOT(ISERROR(SEARCH($H$8,D321)))</formula>
      <formula>$H$8</formula>
    </cfRule>
    <cfRule type="containsText" dxfId="3892" priority="5141" operator="containsText" text="$H$9">
      <formula>NOT(ISERROR(SEARCH($H$9,D321)))</formula>
      <formula>$H$9</formula>
    </cfRule>
    <cfRule type="containsText" dxfId="3891" priority="5140" operator="containsText" text="$H$10">
      <formula>NOT(ISERROR(SEARCH($H$10,D321)))</formula>
      <formula>$H$10</formula>
    </cfRule>
    <cfRule type="containsText" dxfId="3890" priority="5139" operator="containsText" text="$H$11">
      <formula>NOT(ISERROR(SEARCH($H$11,D321)))</formula>
      <formula>$H$11</formula>
    </cfRule>
    <cfRule type="containsText" dxfId="3889" priority="5138" operator="containsText" text="$H$12">
      <formula>NOT(ISERROR(SEARCH($H$12,D321)))</formula>
      <formula>$H$12</formula>
    </cfRule>
    <cfRule type="containsText" dxfId="3888" priority="5137" operator="containsText" text="$H$13">
      <formula>NOT(ISERROR(SEARCH($H$13,D321)))</formula>
      <formula>$H$13</formula>
    </cfRule>
  </conditionalFormatting>
  <conditionalFormatting sqref="D323">
    <cfRule type="containsText" dxfId="3887" priority="5136" operator="containsText" text="$H$7">
      <formula>NOT(ISERROR(SEARCH($H$7,D323)))</formula>
      <formula>$H$7</formula>
    </cfRule>
    <cfRule type="containsText" dxfId="3886" priority="5135" operator="containsText" text="$H$8">
      <formula>NOT(ISERROR(SEARCH($H$8,D323)))</formula>
      <formula>$H$8</formula>
    </cfRule>
    <cfRule type="containsText" dxfId="3885" priority="5134" operator="containsText" text="$H$8">
      <formula>NOT(ISERROR(SEARCH($H$8,D323)))</formula>
      <formula>$H$8</formula>
    </cfRule>
    <cfRule type="containsText" dxfId="3884" priority="5133" operator="containsText" text="$H$9">
      <formula>NOT(ISERROR(SEARCH($H$9,D323)))</formula>
      <formula>$H$9</formula>
    </cfRule>
    <cfRule type="containsText" dxfId="3883" priority="5132" operator="containsText" text="$H$10">
      <formula>NOT(ISERROR(SEARCH($H$10,D323)))</formula>
      <formula>$H$10</formula>
    </cfRule>
    <cfRule type="containsText" dxfId="3882" priority="5131" operator="containsText" text="$H$11">
      <formula>NOT(ISERROR(SEARCH($H$11,D323)))</formula>
      <formula>$H$11</formula>
    </cfRule>
    <cfRule type="containsText" dxfId="3881" priority="5130" operator="containsText" text="$H$12">
      <formula>NOT(ISERROR(SEARCH($H$12,D323)))</formula>
      <formula>$H$12</formula>
    </cfRule>
    <cfRule type="containsText" dxfId="3880" priority="5129" operator="containsText" text="$H$13">
      <formula>NOT(ISERROR(SEARCH($H$13,D323)))</formula>
      <formula>$H$13</formula>
    </cfRule>
  </conditionalFormatting>
  <conditionalFormatting sqref="D323">
    <cfRule type="containsText" dxfId="3879" priority="5128" operator="containsText" text="$H$7">
      <formula>NOT(ISERROR(SEARCH($H$7,D323)))</formula>
      <formula>$H$7</formula>
    </cfRule>
    <cfRule type="containsText" dxfId="3878" priority="5127" operator="containsText" text="$H$8">
      <formula>NOT(ISERROR(SEARCH($H$8,D323)))</formula>
      <formula>$H$8</formula>
    </cfRule>
    <cfRule type="containsText" dxfId="3877" priority="5126" operator="containsText" text="$H$8">
      <formula>NOT(ISERROR(SEARCH($H$8,D323)))</formula>
      <formula>$H$8</formula>
    </cfRule>
    <cfRule type="containsText" dxfId="3876" priority="5125" operator="containsText" text="$H$9">
      <formula>NOT(ISERROR(SEARCH($H$9,D323)))</formula>
      <formula>$H$9</formula>
    </cfRule>
    <cfRule type="containsText" dxfId="3875" priority="5124" operator="containsText" text="$H$10">
      <formula>NOT(ISERROR(SEARCH($H$10,D323)))</formula>
      <formula>$H$10</formula>
    </cfRule>
    <cfRule type="containsText" dxfId="3874" priority="5123" operator="containsText" text="$H$11">
      <formula>NOT(ISERROR(SEARCH($H$11,D323)))</formula>
      <formula>$H$11</formula>
    </cfRule>
    <cfRule type="containsText" dxfId="3873" priority="5122" operator="containsText" text="$H$12">
      <formula>NOT(ISERROR(SEARCH($H$12,D323)))</formula>
      <formula>$H$12</formula>
    </cfRule>
    <cfRule type="containsText" dxfId="3872" priority="5121" operator="containsText" text="$H$13">
      <formula>NOT(ISERROR(SEARCH($H$13,D323)))</formula>
      <formula>$H$13</formula>
    </cfRule>
  </conditionalFormatting>
  <conditionalFormatting sqref="D325">
    <cfRule type="containsText" dxfId="3871" priority="5120" operator="containsText" text="$H$7">
      <formula>NOT(ISERROR(SEARCH($H$7,D325)))</formula>
      <formula>$H$7</formula>
    </cfRule>
    <cfRule type="containsText" dxfId="3870" priority="5119" operator="containsText" text="$H$8">
      <formula>NOT(ISERROR(SEARCH($H$8,D325)))</formula>
      <formula>$H$8</formula>
    </cfRule>
    <cfRule type="containsText" dxfId="3869" priority="5118" operator="containsText" text="$H$8">
      <formula>NOT(ISERROR(SEARCH($H$8,D325)))</formula>
      <formula>$H$8</formula>
    </cfRule>
    <cfRule type="containsText" dxfId="3868" priority="5117" operator="containsText" text="$H$9">
      <formula>NOT(ISERROR(SEARCH($H$9,D325)))</formula>
      <formula>$H$9</formula>
    </cfRule>
    <cfRule type="containsText" dxfId="3867" priority="5116" operator="containsText" text="$H$10">
      <formula>NOT(ISERROR(SEARCH($H$10,D325)))</formula>
      <formula>$H$10</formula>
    </cfRule>
    <cfRule type="containsText" dxfId="3866" priority="5115" operator="containsText" text="$H$11">
      <formula>NOT(ISERROR(SEARCH($H$11,D325)))</formula>
      <formula>$H$11</formula>
    </cfRule>
    <cfRule type="containsText" dxfId="3865" priority="5114" operator="containsText" text="$H$12">
      <formula>NOT(ISERROR(SEARCH($H$12,D325)))</formula>
      <formula>$H$12</formula>
    </cfRule>
    <cfRule type="containsText" dxfId="3864" priority="5113" operator="containsText" text="$H$13">
      <formula>NOT(ISERROR(SEARCH($H$13,D325)))</formula>
      <formula>$H$13</formula>
    </cfRule>
  </conditionalFormatting>
  <conditionalFormatting sqref="D325">
    <cfRule type="containsText" dxfId="3863" priority="5112" operator="containsText" text="$H$7">
      <formula>NOT(ISERROR(SEARCH($H$7,D325)))</formula>
      <formula>$H$7</formula>
    </cfRule>
    <cfRule type="containsText" dxfId="3862" priority="5111" operator="containsText" text="$H$8">
      <formula>NOT(ISERROR(SEARCH($H$8,D325)))</formula>
      <formula>$H$8</formula>
    </cfRule>
    <cfRule type="containsText" dxfId="3861" priority="5110" operator="containsText" text="$H$8">
      <formula>NOT(ISERROR(SEARCH($H$8,D325)))</formula>
      <formula>$H$8</formula>
    </cfRule>
    <cfRule type="containsText" dxfId="3860" priority="5109" operator="containsText" text="$H$9">
      <formula>NOT(ISERROR(SEARCH($H$9,D325)))</formula>
      <formula>$H$9</formula>
    </cfRule>
    <cfRule type="containsText" dxfId="3859" priority="5108" operator="containsText" text="$H$10">
      <formula>NOT(ISERROR(SEARCH($H$10,D325)))</formula>
      <formula>$H$10</formula>
    </cfRule>
    <cfRule type="containsText" dxfId="3858" priority="5107" operator="containsText" text="$H$11">
      <formula>NOT(ISERROR(SEARCH($H$11,D325)))</formula>
      <formula>$H$11</formula>
    </cfRule>
    <cfRule type="containsText" dxfId="3857" priority="5106" operator="containsText" text="$H$12">
      <formula>NOT(ISERROR(SEARCH($H$12,D325)))</formula>
      <formula>$H$12</formula>
    </cfRule>
    <cfRule type="containsText" dxfId="3856" priority="5105" operator="containsText" text="$H$13">
      <formula>NOT(ISERROR(SEARCH($H$13,D325)))</formula>
      <formula>$H$13</formula>
    </cfRule>
  </conditionalFormatting>
  <conditionalFormatting sqref="D327">
    <cfRule type="containsText" dxfId="3855" priority="5104" operator="containsText" text="$H$7">
      <formula>NOT(ISERROR(SEARCH($H$7,D327)))</formula>
      <formula>$H$7</formula>
    </cfRule>
    <cfRule type="containsText" dxfId="3854" priority="5103" operator="containsText" text="$H$8">
      <formula>NOT(ISERROR(SEARCH($H$8,D327)))</formula>
      <formula>$H$8</formula>
    </cfRule>
    <cfRule type="containsText" dxfId="3853" priority="5102" operator="containsText" text="$H$8">
      <formula>NOT(ISERROR(SEARCH($H$8,D327)))</formula>
      <formula>$H$8</formula>
    </cfRule>
    <cfRule type="containsText" dxfId="3852" priority="5101" operator="containsText" text="$H$9">
      <formula>NOT(ISERROR(SEARCH($H$9,D327)))</formula>
      <formula>$H$9</formula>
    </cfRule>
    <cfRule type="containsText" dxfId="3851" priority="5100" operator="containsText" text="$H$10">
      <formula>NOT(ISERROR(SEARCH($H$10,D327)))</formula>
      <formula>$H$10</formula>
    </cfRule>
    <cfRule type="containsText" dxfId="3850" priority="5099" operator="containsText" text="$H$11">
      <formula>NOT(ISERROR(SEARCH($H$11,D327)))</formula>
      <formula>$H$11</formula>
    </cfRule>
    <cfRule type="containsText" dxfId="3849" priority="5098" operator="containsText" text="$H$12">
      <formula>NOT(ISERROR(SEARCH($H$12,D327)))</formula>
      <formula>$H$12</formula>
    </cfRule>
    <cfRule type="containsText" dxfId="3848" priority="5097" operator="containsText" text="$H$13">
      <formula>NOT(ISERROR(SEARCH($H$13,D327)))</formula>
      <formula>$H$13</formula>
    </cfRule>
  </conditionalFormatting>
  <conditionalFormatting sqref="D327">
    <cfRule type="containsText" dxfId="3847" priority="5096" operator="containsText" text="$H$7">
      <formula>NOT(ISERROR(SEARCH($H$7,D327)))</formula>
      <formula>$H$7</formula>
    </cfRule>
    <cfRule type="containsText" dxfId="3846" priority="5095" operator="containsText" text="$H$8">
      <formula>NOT(ISERROR(SEARCH($H$8,D327)))</formula>
      <formula>$H$8</formula>
    </cfRule>
    <cfRule type="containsText" dxfId="3845" priority="5094" operator="containsText" text="$H$8">
      <formula>NOT(ISERROR(SEARCH($H$8,D327)))</formula>
      <formula>$H$8</formula>
    </cfRule>
    <cfRule type="containsText" dxfId="3844" priority="5093" operator="containsText" text="$H$9">
      <formula>NOT(ISERROR(SEARCH($H$9,D327)))</formula>
      <formula>$H$9</formula>
    </cfRule>
    <cfRule type="containsText" dxfId="3843" priority="5092" operator="containsText" text="$H$10">
      <formula>NOT(ISERROR(SEARCH($H$10,D327)))</formula>
      <formula>$H$10</formula>
    </cfRule>
    <cfRule type="containsText" dxfId="3842" priority="5091" operator="containsText" text="$H$11">
      <formula>NOT(ISERROR(SEARCH($H$11,D327)))</formula>
      <formula>$H$11</formula>
    </cfRule>
    <cfRule type="containsText" dxfId="3841" priority="5090" operator="containsText" text="$H$12">
      <formula>NOT(ISERROR(SEARCH($H$12,D327)))</formula>
      <formula>$H$12</formula>
    </cfRule>
    <cfRule type="containsText" dxfId="3840" priority="5089" operator="containsText" text="$H$13">
      <formula>NOT(ISERROR(SEARCH($H$13,D327)))</formula>
      <formula>$H$13</formula>
    </cfRule>
  </conditionalFormatting>
  <conditionalFormatting sqref="D312:D319">
    <cfRule type="containsText" dxfId="3839" priority="5088" operator="containsText" text="$H$7">
      <formula>NOT(ISERROR(SEARCH($H$7,D312)))</formula>
      <formula>$H$7</formula>
    </cfRule>
    <cfRule type="containsText" dxfId="3838" priority="5087" operator="containsText" text="$H$8">
      <formula>NOT(ISERROR(SEARCH($H$8,D312)))</formula>
      <formula>$H$8</formula>
    </cfRule>
    <cfRule type="containsText" dxfId="3837" priority="5086" operator="containsText" text="$H$8">
      <formula>NOT(ISERROR(SEARCH($H$8,D312)))</formula>
      <formula>$H$8</formula>
    </cfRule>
    <cfRule type="containsText" dxfId="3836" priority="5085" operator="containsText" text="$H$9">
      <formula>NOT(ISERROR(SEARCH($H$9,D312)))</formula>
      <formula>$H$9</formula>
    </cfRule>
    <cfRule type="containsText" dxfId="3835" priority="5084" operator="containsText" text="$H$10">
      <formula>NOT(ISERROR(SEARCH($H$10,D312)))</formula>
      <formula>$H$10</formula>
    </cfRule>
    <cfRule type="containsText" dxfId="3834" priority="5083" operator="containsText" text="$H$11">
      <formula>NOT(ISERROR(SEARCH($H$11,D312)))</formula>
      <formula>$H$11</formula>
    </cfRule>
    <cfRule type="containsText" dxfId="3833" priority="5082" operator="containsText" text="$H$12">
      <formula>NOT(ISERROR(SEARCH($H$12,D312)))</formula>
      <formula>$H$12</formula>
    </cfRule>
    <cfRule type="containsText" dxfId="3832" priority="5081" operator="containsText" text="$H$13">
      <formula>NOT(ISERROR(SEARCH($H$13,D312)))</formula>
      <formula>$H$13</formula>
    </cfRule>
  </conditionalFormatting>
  <conditionalFormatting sqref="D330 D332 D334 D336">
    <cfRule type="containsText" dxfId="3831" priority="5080" operator="containsText" text="$H$7">
      <formula>NOT(ISERROR(SEARCH($H$7,D330)))</formula>
      <formula>$H$7</formula>
    </cfRule>
    <cfRule type="containsText" dxfId="3830" priority="5079" operator="containsText" text="$H$8">
      <formula>NOT(ISERROR(SEARCH($H$8,D330)))</formula>
      <formula>$H$8</formula>
    </cfRule>
    <cfRule type="containsText" dxfId="3829" priority="5078" operator="containsText" text="$H$8">
      <formula>NOT(ISERROR(SEARCH($H$8,D330)))</formula>
      <formula>$H$8</formula>
    </cfRule>
    <cfRule type="containsText" dxfId="3828" priority="5077" operator="containsText" text="$H$9">
      <formula>NOT(ISERROR(SEARCH($H$9,D330)))</formula>
      <formula>$H$9</formula>
    </cfRule>
    <cfRule type="containsText" dxfId="3827" priority="5076" operator="containsText" text="$H$10">
      <formula>NOT(ISERROR(SEARCH($H$10,D330)))</formula>
      <formula>$H$10</formula>
    </cfRule>
    <cfRule type="containsText" dxfId="3826" priority="5075" operator="containsText" text="$H$11">
      <formula>NOT(ISERROR(SEARCH($H$11,D330)))</formula>
      <formula>$H$11</formula>
    </cfRule>
    <cfRule type="containsText" dxfId="3825" priority="5074" operator="containsText" text="$H$12">
      <formula>NOT(ISERROR(SEARCH($H$12,D330)))</formula>
      <formula>$H$12</formula>
    </cfRule>
    <cfRule type="containsText" dxfId="3824" priority="5073" operator="containsText" text="$H$13">
      <formula>NOT(ISERROR(SEARCH($H$13,D330)))</formula>
      <formula>$H$13</formula>
    </cfRule>
  </conditionalFormatting>
  <conditionalFormatting sqref="D331">
    <cfRule type="containsText" dxfId="3823" priority="5072" operator="containsText" text="$H$7">
      <formula>NOT(ISERROR(SEARCH($H$7,D331)))</formula>
      <formula>$H$7</formula>
    </cfRule>
    <cfRule type="containsText" dxfId="3822" priority="5071" operator="containsText" text="$H$8">
      <formula>NOT(ISERROR(SEARCH($H$8,D331)))</formula>
      <formula>$H$8</formula>
    </cfRule>
    <cfRule type="containsText" dxfId="3821" priority="5070" operator="containsText" text="$H$8">
      <formula>NOT(ISERROR(SEARCH($H$8,D331)))</formula>
      <formula>$H$8</formula>
    </cfRule>
    <cfRule type="containsText" dxfId="3820" priority="5069" operator="containsText" text="$H$9">
      <formula>NOT(ISERROR(SEARCH($H$9,D331)))</formula>
      <formula>$H$9</formula>
    </cfRule>
    <cfRule type="containsText" dxfId="3819" priority="5068" operator="containsText" text="$H$10">
      <formula>NOT(ISERROR(SEARCH($H$10,D331)))</formula>
      <formula>$H$10</formula>
    </cfRule>
    <cfRule type="containsText" dxfId="3818" priority="5067" operator="containsText" text="$H$11">
      <formula>NOT(ISERROR(SEARCH($H$11,D331)))</formula>
      <formula>$H$11</formula>
    </cfRule>
    <cfRule type="containsText" dxfId="3817" priority="5066" operator="containsText" text="$H$12">
      <formula>NOT(ISERROR(SEARCH($H$12,D331)))</formula>
      <formula>$H$12</formula>
    </cfRule>
    <cfRule type="containsText" dxfId="3816" priority="5065" operator="containsText" text="$H$13">
      <formula>NOT(ISERROR(SEARCH($H$13,D331)))</formula>
      <formula>$H$13</formula>
    </cfRule>
  </conditionalFormatting>
  <conditionalFormatting sqref="D333">
    <cfRule type="containsText" dxfId="3815" priority="5064" operator="containsText" text="$H$7">
      <formula>NOT(ISERROR(SEARCH($H$7,D333)))</formula>
      <formula>$H$7</formula>
    </cfRule>
    <cfRule type="containsText" dxfId="3814" priority="5063" operator="containsText" text="$H$8">
      <formula>NOT(ISERROR(SEARCH($H$8,D333)))</formula>
      <formula>$H$8</formula>
    </cfRule>
    <cfRule type="containsText" dxfId="3813" priority="5062" operator="containsText" text="$H$8">
      <formula>NOT(ISERROR(SEARCH($H$8,D333)))</formula>
      <formula>$H$8</formula>
    </cfRule>
    <cfRule type="containsText" dxfId="3812" priority="5061" operator="containsText" text="$H$9">
      <formula>NOT(ISERROR(SEARCH($H$9,D333)))</formula>
      <formula>$H$9</formula>
    </cfRule>
    <cfRule type="containsText" dxfId="3811" priority="5060" operator="containsText" text="$H$10">
      <formula>NOT(ISERROR(SEARCH($H$10,D333)))</formula>
      <formula>$H$10</formula>
    </cfRule>
    <cfRule type="containsText" dxfId="3810" priority="5059" operator="containsText" text="$H$11">
      <formula>NOT(ISERROR(SEARCH($H$11,D333)))</formula>
      <formula>$H$11</formula>
    </cfRule>
    <cfRule type="containsText" dxfId="3809" priority="5058" operator="containsText" text="$H$12">
      <formula>NOT(ISERROR(SEARCH($H$12,D333)))</formula>
      <formula>$H$12</formula>
    </cfRule>
    <cfRule type="containsText" dxfId="3808" priority="5057" operator="containsText" text="$H$13">
      <formula>NOT(ISERROR(SEARCH($H$13,D333)))</formula>
      <formula>$H$13</formula>
    </cfRule>
  </conditionalFormatting>
  <conditionalFormatting sqref="D335">
    <cfRule type="containsText" dxfId="3807" priority="5056" operator="containsText" text="$H$7">
      <formula>NOT(ISERROR(SEARCH($H$7,D335)))</formula>
      <formula>$H$7</formula>
    </cfRule>
    <cfRule type="containsText" dxfId="3806" priority="5055" operator="containsText" text="$H$8">
      <formula>NOT(ISERROR(SEARCH($H$8,D335)))</formula>
      <formula>$H$8</formula>
    </cfRule>
    <cfRule type="containsText" dxfId="3805" priority="5054" operator="containsText" text="$H$8">
      <formula>NOT(ISERROR(SEARCH($H$8,D335)))</formula>
      <formula>$H$8</formula>
    </cfRule>
    <cfRule type="containsText" dxfId="3804" priority="5053" operator="containsText" text="$H$9">
      <formula>NOT(ISERROR(SEARCH($H$9,D335)))</formula>
      <formula>$H$9</formula>
    </cfRule>
    <cfRule type="containsText" dxfId="3803" priority="5052" operator="containsText" text="$H$10">
      <formula>NOT(ISERROR(SEARCH($H$10,D335)))</formula>
      <formula>$H$10</formula>
    </cfRule>
    <cfRule type="containsText" dxfId="3802" priority="5051" operator="containsText" text="$H$11">
      <formula>NOT(ISERROR(SEARCH($H$11,D335)))</formula>
      <formula>$H$11</formula>
    </cfRule>
    <cfRule type="containsText" dxfId="3801" priority="5050" operator="containsText" text="$H$12">
      <formula>NOT(ISERROR(SEARCH($H$12,D335)))</formula>
      <formula>$H$12</formula>
    </cfRule>
    <cfRule type="containsText" dxfId="3800" priority="5049" operator="containsText" text="$H$13">
      <formula>NOT(ISERROR(SEARCH($H$13,D335)))</formula>
      <formula>$H$13</formula>
    </cfRule>
  </conditionalFormatting>
  <conditionalFormatting sqref="D337">
    <cfRule type="containsText" dxfId="3799" priority="5048" operator="containsText" text="$H$7">
      <formula>NOT(ISERROR(SEARCH($H$7,D337)))</formula>
      <formula>$H$7</formula>
    </cfRule>
    <cfRule type="containsText" dxfId="3798" priority="5047" operator="containsText" text="$H$8">
      <formula>NOT(ISERROR(SEARCH($H$8,D337)))</formula>
      <formula>$H$8</formula>
    </cfRule>
    <cfRule type="containsText" dxfId="3797" priority="5046" operator="containsText" text="$H$8">
      <formula>NOT(ISERROR(SEARCH($H$8,D337)))</formula>
      <formula>$H$8</formula>
    </cfRule>
    <cfRule type="containsText" dxfId="3796" priority="5045" operator="containsText" text="$H$9">
      <formula>NOT(ISERROR(SEARCH($H$9,D337)))</formula>
      <formula>$H$9</formula>
    </cfRule>
    <cfRule type="containsText" dxfId="3795" priority="5044" operator="containsText" text="$H$10">
      <formula>NOT(ISERROR(SEARCH($H$10,D337)))</formula>
      <formula>$H$10</formula>
    </cfRule>
    <cfRule type="containsText" dxfId="3794" priority="5043" operator="containsText" text="$H$11">
      <formula>NOT(ISERROR(SEARCH($H$11,D337)))</formula>
      <formula>$H$11</formula>
    </cfRule>
    <cfRule type="containsText" dxfId="3793" priority="5042" operator="containsText" text="$H$12">
      <formula>NOT(ISERROR(SEARCH($H$12,D337)))</formula>
      <formula>$H$12</formula>
    </cfRule>
    <cfRule type="containsText" dxfId="3792" priority="5041" operator="containsText" text="$H$13">
      <formula>NOT(ISERROR(SEARCH($H$13,D337)))</formula>
      <formula>$H$13</formula>
    </cfRule>
  </conditionalFormatting>
  <conditionalFormatting sqref="D338 D344 D342 D340">
    <cfRule type="containsText" dxfId="3791" priority="5040" operator="containsText" text="$H$7">
      <formula>NOT(ISERROR(SEARCH($H$7,D338)))</formula>
      <formula>$H$7</formula>
    </cfRule>
    <cfRule type="containsText" dxfId="3790" priority="5039" operator="containsText" text="$H$8">
      <formula>NOT(ISERROR(SEARCH($H$8,D338)))</formula>
      <formula>$H$8</formula>
    </cfRule>
    <cfRule type="containsText" dxfId="3789" priority="5038" operator="containsText" text="$H$8">
      <formula>NOT(ISERROR(SEARCH($H$8,D338)))</formula>
      <formula>$H$8</formula>
    </cfRule>
    <cfRule type="containsText" dxfId="3788" priority="5037" operator="containsText" text="$H$9">
      <formula>NOT(ISERROR(SEARCH($H$9,D338)))</formula>
      <formula>$H$9</formula>
    </cfRule>
    <cfRule type="containsText" dxfId="3787" priority="5036" operator="containsText" text="$H$10">
      <formula>NOT(ISERROR(SEARCH($H$10,D338)))</formula>
      <formula>$H$10</formula>
    </cfRule>
    <cfRule type="containsText" dxfId="3786" priority="5035" operator="containsText" text="$H$11">
      <formula>NOT(ISERROR(SEARCH($H$11,D338)))</formula>
      <formula>$H$11</formula>
    </cfRule>
    <cfRule type="containsText" dxfId="3785" priority="5034" operator="containsText" text="$H$12">
      <formula>NOT(ISERROR(SEARCH($H$12,D338)))</formula>
      <formula>$H$12</formula>
    </cfRule>
    <cfRule type="containsText" dxfId="3784" priority="5033" operator="containsText" text="$H$13">
      <formula>NOT(ISERROR(SEARCH($H$13,D338)))</formula>
      <formula>$H$13</formula>
    </cfRule>
  </conditionalFormatting>
  <conditionalFormatting sqref="D338 D344 D342 D340">
    <cfRule type="containsText" dxfId="3783" priority="5032" operator="containsText" text="$H$7">
      <formula>NOT(ISERROR(SEARCH($H$7,D338)))</formula>
      <formula>$H$7</formula>
    </cfRule>
    <cfRule type="containsText" dxfId="3782" priority="5031" operator="containsText" text="$H$8">
      <formula>NOT(ISERROR(SEARCH($H$8,D338)))</formula>
      <formula>$H$8</formula>
    </cfRule>
    <cfRule type="containsText" dxfId="3781" priority="5030" operator="containsText" text="$H$8">
      <formula>NOT(ISERROR(SEARCH($H$8,D338)))</formula>
      <formula>$H$8</formula>
    </cfRule>
    <cfRule type="containsText" dxfId="3780" priority="5029" operator="containsText" text="$H$9">
      <formula>NOT(ISERROR(SEARCH($H$9,D338)))</formula>
      <formula>$H$9</formula>
    </cfRule>
    <cfRule type="containsText" dxfId="3779" priority="5028" operator="containsText" text="$H$10">
      <formula>NOT(ISERROR(SEARCH($H$10,D338)))</formula>
      <formula>$H$10</formula>
    </cfRule>
    <cfRule type="containsText" dxfId="3778" priority="5027" operator="containsText" text="$H$11">
      <formula>NOT(ISERROR(SEARCH($H$11,D338)))</formula>
      <formula>$H$11</formula>
    </cfRule>
    <cfRule type="containsText" dxfId="3777" priority="5026" operator="containsText" text="$H$12">
      <formula>NOT(ISERROR(SEARCH($H$12,D338)))</formula>
      <formula>$H$12</formula>
    </cfRule>
    <cfRule type="containsText" dxfId="3776" priority="5025" operator="containsText" text="$H$13">
      <formula>NOT(ISERROR(SEARCH($H$13,D338)))</formula>
      <formula>$H$13</formula>
    </cfRule>
  </conditionalFormatting>
  <conditionalFormatting sqref="D339">
    <cfRule type="containsText" dxfId="3775" priority="5024" operator="containsText" text="$H$7">
      <formula>NOT(ISERROR(SEARCH($H$7,D339)))</formula>
      <formula>$H$7</formula>
    </cfRule>
    <cfRule type="containsText" dxfId="3774" priority="5023" operator="containsText" text="$H$8">
      <formula>NOT(ISERROR(SEARCH($H$8,D339)))</formula>
      <formula>$H$8</formula>
    </cfRule>
    <cfRule type="containsText" dxfId="3773" priority="5022" operator="containsText" text="$H$8">
      <formula>NOT(ISERROR(SEARCH($H$8,D339)))</formula>
      <formula>$H$8</formula>
    </cfRule>
    <cfRule type="containsText" dxfId="3772" priority="5021" operator="containsText" text="$H$9">
      <formula>NOT(ISERROR(SEARCH($H$9,D339)))</formula>
      <formula>$H$9</formula>
    </cfRule>
    <cfRule type="containsText" dxfId="3771" priority="5020" operator="containsText" text="$H$10">
      <formula>NOT(ISERROR(SEARCH($H$10,D339)))</formula>
      <formula>$H$10</formula>
    </cfRule>
    <cfRule type="containsText" dxfId="3770" priority="5019" operator="containsText" text="$H$11">
      <formula>NOT(ISERROR(SEARCH($H$11,D339)))</formula>
      <formula>$H$11</formula>
    </cfRule>
    <cfRule type="containsText" dxfId="3769" priority="5018" operator="containsText" text="$H$12">
      <formula>NOT(ISERROR(SEARCH($H$12,D339)))</formula>
      <formula>$H$12</formula>
    </cfRule>
    <cfRule type="containsText" dxfId="3768" priority="5017" operator="containsText" text="$H$13">
      <formula>NOT(ISERROR(SEARCH($H$13,D339)))</formula>
      <formula>$H$13</formula>
    </cfRule>
  </conditionalFormatting>
  <conditionalFormatting sqref="D339">
    <cfRule type="containsText" dxfId="3767" priority="5016" operator="containsText" text="$H$7">
      <formula>NOT(ISERROR(SEARCH($H$7,D339)))</formula>
      <formula>$H$7</formula>
    </cfRule>
    <cfRule type="containsText" dxfId="3766" priority="5015" operator="containsText" text="$H$8">
      <formula>NOT(ISERROR(SEARCH($H$8,D339)))</formula>
      <formula>$H$8</formula>
    </cfRule>
    <cfRule type="containsText" dxfId="3765" priority="5014" operator="containsText" text="$H$8">
      <formula>NOT(ISERROR(SEARCH($H$8,D339)))</formula>
      <formula>$H$8</formula>
    </cfRule>
    <cfRule type="containsText" dxfId="3764" priority="5013" operator="containsText" text="$H$9">
      <formula>NOT(ISERROR(SEARCH($H$9,D339)))</formula>
      <formula>$H$9</formula>
    </cfRule>
    <cfRule type="containsText" dxfId="3763" priority="5012" operator="containsText" text="$H$10">
      <formula>NOT(ISERROR(SEARCH($H$10,D339)))</formula>
      <formula>$H$10</formula>
    </cfRule>
    <cfRule type="containsText" dxfId="3762" priority="5011" operator="containsText" text="$H$11">
      <formula>NOT(ISERROR(SEARCH($H$11,D339)))</formula>
      <formula>$H$11</formula>
    </cfRule>
    <cfRule type="containsText" dxfId="3761" priority="5010" operator="containsText" text="$H$12">
      <formula>NOT(ISERROR(SEARCH($H$12,D339)))</formula>
      <formula>$H$12</formula>
    </cfRule>
    <cfRule type="containsText" dxfId="3760" priority="5009" operator="containsText" text="$H$13">
      <formula>NOT(ISERROR(SEARCH($H$13,D339)))</formula>
      <formula>$H$13</formula>
    </cfRule>
  </conditionalFormatting>
  <conditionalFormatting sqref="D341">
    <cfRule type="containsText" dxfId="3759" priority="5008" operator="containsText" text="$H$7">
      <formula>NOT(ISERROR(SEARCH($H$7,D341)))</formula>
      <formula>$H$7</formula>
    </cfRule>
    <cfRule type="containsText" dxfId="3758" priority="5007" operator="containsText" text="$H$8">
      <formula>NOT(ISERROR(SEARCH($H$8,D341)))</formula>
      <formula>$H$8</formula>
    </cfRule>
    <cfRule type="containsText" dxfId="3757" priority="5006" operator="containsText" text="$H$8">
      <formula>NOT(ISERROR(SEARCH($H$8,D341)))</formula>
      <formula>$H$8</formula>
    </cfRule>
    <cfRule type="containsText" dxfId="3756" priority="5005" operator="containsText" text="$H$9">
      <formula>NOT(ISERROR(SEARCH($H$9,D341)))</formula>
      <formula>$H$9</formula>
    </cfRule>
    <cfRule type="containsText" dxfId="3755" priority="5004" operator="containsText" text="$H$10">
      <formula>NOT(ISERROR(SEARCH($H$10,D341)))</formula>
      <formula>$H$10</formula>
    </cfRule>
    <cfRule type="containsText" dxfId="3754" priority="5003" operator="containsText" text="$H$11">
      <formula>NOT(ISERROR(SEARCH($H$11,D341)))</formula>
      <formula>$H$11</formula>
    </cfRule>
    <cfRule type="containsText" dxfId="3753" priority="5002" operator="containsText" text="$H$12">
      <formula>NOT(ISERROR(SEARCH($H$12,D341)))</formula>
      <formula>$H$12</formula>
    </cfRule>
    <cfRule type="containsText" dxfId="3752" priority="5001" operator="containsText" text="$H$13">
      <formula>NOT(ISERROR(SEARCH($H$13,D341)))</formula>
      <formula>$H$13</formula>
    </cfRule>
  </conditionalFormatting>
  <conditionalFormatting sqref="D341">
    <cfRule type="containsText" dxfId="3751" priority="5000" operator="containsText" text="$H$7">
      <formula>NOT(ISERROR(SEARCH($H$7,D341)))</formula>
      <formula>$H$7</formula>
    </cfRule>
    <cfRule type="containsText" dxfId="3750" priority="4999" operator="containsText" text="$H$8">
      <formula>NOT(ISERROR(SEARCH($H$8,D341)))</formula>
      <formula>$H$8</formula>
    </cfRule>
    <cfRule type="containsText" dxfId="3749" priority="4998" operator="containsText" text="$H$8">
      <formula>NOT(ISERROR(SEARCH($H$8,D341)))</formula>
      <formula>$H$8</formula>
    </cfRule>
    <cfRule type="containsText" dxfId="3748" priority="4997" operator="containsText" text="$H$9">
      <formula>NOT(ISERROR(SEARCH($H$9,D341)))</formula>
      <formula>$H$9</formula>
    </cfRule>
    <cfRule type="containsText" dxfId="3747" priority="4996" operator="containsText" text="$H$10">
      <formula>NOT(ISERROR(SEARCH($H$10,D341)))</formula>
      <formula>$H$10</formula>
    </cfRule>
    <cfRule type="containsText" dxfId="3746" priority="4995" operator="containsText" text="$H$11">
      <formula>NOT(ISERROR(SEARCH($H$11,D341)))</formula>
      <formula>$H$11</formula>
    </cfRule>
    <cfRule type="containsText" dxfId="3745" priority="4994" operator="containsText" text="$H$12">
      <formula>NOT(ISERROR(SEARCH($H$12,D341)))</formula>
      <formula>$H$12</formula>
    </cfRule>
    <cfRule type="containsText" dxfId="3744" priority="4993" operator="containsText" text="$H$13">
      <formula>NOT(ISERROR(SEARCH($H$13,D341)))</formula>
      <formula>$H$13</formula>
    </cfRule>
  </conditionalFormatting>
  <conditionalFormatting sqref="D343">
    <cfRule type="containsText" dxfId="3743" priority="4992" operator="containsText" text="$H$7">
      <formula>NOT(ISERROR(SEARCH($H$7,D343)))</formula>
      <formula>$H$7</formula>
    </cfRule>
    <cfRule type="containsText" dxfId="3742" priority="4991" operator="containsText" text="$H$8">
      <formula>NOT(ISERROR(SEARCH($H$8,D343)))</formula>
      <formula>$H$8</formula>
    </cfRule>
    <cfRule type="containsText" dxfId="3741" priority="4990" operator="containsText" text="$H$8">
      <formula>NOT(ISERROR(SEARCH($H$8,D343)))</formula>
      <formula>$H$8</formula>
    </cfRule>
    <cfRule type="containsText" dxfId="3740" priority="4989" operator="containsText" text="$H$9">
      <formula>NOT(ISERROR(SEARCH($H$9,D343)))</formula>
      <formula>$H$9</formula>
    </cfRule>
    <cfRule type="containsText" dxfId="3739" priority="4988" operator="containsText" text="$H$10">
      <formula>NOT(ISERROR(SEARCH($H$10,D343)))</formula>
      <formula>$H$10</formula>
    </cfRule>
    <cfRule type="containsText" dxfId="3738" priority="4987" operator="containsText" text="$H$11">
      <formula>NOT(ISERROR(SEARCH($H$11,D343)))</formula>
      <formula>$H$11</formula>
    </cfRule>
    <cfRule type="containsText" dxfId="3737" priority="4986" operator="containsText" text="$H$12">
      <formula>NOT(ISERROR(SEARCH($H$12,D343)))</formula>
      <formula>$H$12</formula>
    </cfRule>
    <cfRule type="containsText" dxfId="3736" priority="4985" operator="containsText" text="$H$13">
      <formula>NOT(ISERROR(SEARCH($H$13,D343)))</formula>
      <formula>$H$13</formula>
    </cfRule>
  </conditionalFormatting>
  <conditionalFormatting sqref="D343">
    <cfRule type="containsText" dxfId="3735" priority="4984" operator="containsText" text="$H$7">
      <formula>NOT(ISERROR(SEARCH($H$7,D343)))</formula>
      <formula>$H$7</formula>
    </cfRule>
    <cfRule type="containsText" dxfId="3734" priority="4983" operator="containsText" text="$H$8">
      <formula>NOT(ISERROR(SEARCH($H$8,D343)))</formula>
      <formula>$H$8</formula>
    </cfRule>
    <cfRule type="containsText" dxfId="3733" priority="4982" operator="containsText" text="$H$8">
      <formula>NOT(ISERROR(SEARCH($H$8,D343)))</formula>
      <formula>$H$8</formula>
    </cfRule>
    <cfRule type="containsText" dxfId="3732" priority="4981" operator="containsText" text="$H$9">
      <formula>NOT(ISERROR(SEARCH($H$9,D343)))</formula>
      <formula>$H$9</formula>
    </cfRule>
    <cfRule type="containsText" dxfId="3731" priority="4980" operator="containsText" text="$H$10">
      <formula>NOT(ISERROR(SEARCH($H$10,D343)))</formula>
      <formula>$H$10</formula>
    </cfRule>
    <cfRule type="containsText" dxfId="3730" priority="4979" operator="containsText" text="$H$11">
      <formula>NOT(ISERROR(SEARCH($H$11,D343)))</formula>
      <formula>$H$11</formula>
    </cfRule>
    <cfRule type="containsText" dxfId="3729" priority="4978" operator="containsText" text="$H$12">
      <formula>NOT(ISERROR(SEARCH($H$12,D343)))</formula>
      <formula>$H$12</formula>
    </cfRule>
    <cfRule type="containsText" dxfId="3728" priority="4977" operator="containsText" text="$H$13">
      <formula>NOT(ISERROR(SEARCH($H$13,D343)))</formula>
      <formula>$H$13</formula>
    </cfRule>
  </conditionalFormatting>
  <conditionalFormatting sqref="D345">
    <cfRule type="containsText" dxfId="3727" priority="4976" operator="containsText" text="$H$7">
      <formula>NOT(ISERROR(SEARCH($H$7,D345)))</formula>
      <formula>$H$7</formula>
    </cfRule>
    <cfRule type="containsText" dxfId="3726" priority="4975" operator="containsText" text="$H$8">
      <formula>NOT(ISERROR(SEARCH($H$8,D345)))</formula>
      <formula>$H$8</formula>
    </cfRule>
    <cfRule type="containsText" dxfId="3725" priority="4974" operator="containsText" text="$H$8">
      <formula>NOT(ISERROR(SEARCH($H$8,D345)))</formula>
      <formula>$H$8</formula>
    </cfRule>
    <cfRule type="containsText" dxfId="3724" priority="4973" operator="containsText" text="$H$9">
      <formula>NOT(ISERROR(SEARCH($H$9,D345)))</formula>
      <formula>$H$9</formula>
    </cfRule>
    <cfRule type="containsText" dxfId="3723" priority="4972" operator="containsText" text="$H$10">
      <formula>NOT(ISERROR(SEARCH($H$10,D345)))</formula>
      <formula>$H$10</formula>
    </cfRule>
    <cfRule type="containsText" dxfId="3722" priority="4971" operator="containsText" text="$H$11">
      <formula>NOT(ISERROR(SEARCH($H$11,D345)))</formula>
      <formula>$H$11</formula>
    </cfRule>
    <cfRule type="containsText" dxfId="3721" priority="4970" operator="containsText" text="$H$12">
      <formula>NOT(ISERROR(SEARCH($H$12,D345)))</formula>
      <formula>$H$12</formula>
    </cfRule>
    <cfRule type="containsText" dxfId="3720" priority="4969" operator="containsText" text="$H$13">
      <formula>NOT(ISERROR(SEARCH($H$13,D345)))</formula>
      <formula>$H$13</formula>
    </cfRule>
  </conditionalFormatting>
  <conditionalFormatting sqref="D345">
    <cfRule type="containsText" dxfId="3719" priority="4968" operator="containsText" text="$H$7">
      <formula>NOT(ISERROR(SEARCH($H$7,D345)))</formula>
      <formula>$H$7</formula>
    </cfRule>
    <cfRule type="containsText" dxfId="3718" priority="4967" operator="containsText" text="$H$8">
      <formula>NOT(ISERROR(SEARCH($H$8,D345)))</formula>
      <formula>$H$8</formula>
    </cfRule>
    <cfRule type="containsText" dxfId="3717" priority="4966" operator="containsText" text="$H$8">
      <formula>NOT(ISERROR(SEARCH($H$8,D345)))</formula>
      <formula>$H$8</formula>
    </cfRule>
    <cfRule type="containsText" dxfId="3716" priority="4965" operator="containsText" text="$H$9">
      <formula>NOT(ISERROR(SEARCH($H$9,D345)))</formula>
      <formula>$H$9</formula>
    </cfRule>
    <cfRule type="containsText" dxfId="3715" priority="4964" operator="containsText" text="$H$10">
      <formula>NOT(ISERROR(SEARCH($H$10,D345)))</formula>
      <formula>$H$10</formula>
    </cfRule>
    <cfRule type="containsText" dxfId="3714" priority="4963" operator="containsText" text="$H$11">
      <formula>NOT(ISERROR(SEARCH($H$11,D345)))</formula>
      <formula>$H$11</formula>
    </cfRule>
    <cfRule type="containsText" dxfId="3713" priority="4962" operator="containsText" text="$H$12">
      <formula>NOT(ISERROR(SEARCH($H$12,D345)))</formula>
      <formula>$H$12</formula>
    </cfRule>
    <cfRule type="containsText" dxfId="3712" priority="4961" operator="containsText" text="$H$13">
      <formula>NOT(ISERROR(SEARCH($H$13,D345)))</formula>
      <formula>$H$13</formula>
    </cfRule>
  </conditionalFormatting>
  <conditionalFormatting sqref="B330 B336 B334 B332">
    <cfRule type="containsText" dxfId="3711" priority="4960" operator="containsText" text="$H$7">
      <formula>NOT(ISERROR(SEARCH($H$7,B330)))</formula>
      <formula>$H$7</formula>
    </cfRule>
    <cfRule type="containsText" dxfId="3710" priority="4959" operator="containsText" text="$H$8">
      <formula>NOT(ISERROR(SEARCH($H$8,B330)))</formula>
      <formula>$H$8</formula>
    </cfRule>
    <cfRule type="containsText" dxfId="3709" priority="4958" operator="containsText" text="$H$8">
      <formula>NOT(ISERROR(SEARCH($H$8,B330)))</formula>
      <formula>$H$8</formula>
    </cfRule>
    <cfRule type="containsText" dxfId="3708" priority="4957" operator="containsText" text="$H$9">
      <formula>NOT(ISERROR(SEARCH($H$9,B330)))</formula>
      <formula>$H$9</formula>
    </cfRule>
    <cfRule type="containsText" dxfId="3707" priority="4956" operator="containsText" text="$H$10">
      <formula>NOT(ISERROR(SEARCH($H$10,B330)))</formula>
      <formula>$H$10</formula>
    </cfRule>
    <cfRule type="containsText" dxfId="3706" priority="4955" operator="containsText" text="$H$11">
      <formula>NOT(ISERROR(SEARCH($H$11,B330)))</formula>
      <formula>$H$11</formula>
    </cfRule>
    <cfRule type="containsText" dxfId="3705" priority="4954" operator="containsText" text="$H$12">
      <formula>NOT(ISERROR(SEARCH($H$12,B330)))</formula>
      <formula>$H$12</formula>
    </cfRule>
    <cfRule type="containsText" dxfId="3704" priority="4953" operator="containsText" text="$H$13">
      <formula>NOT(ISERROR(SEARCH($H$13,B330)))</formula>
      <formula>$H$13</formula>
    </cfRule>
  </conditionalFormatting>
  <conditionalFormatting sqref="B330 B336 B334 B332">
    <cfRule type="containsText" dxfId="3703" priority="4952" operator="containsText" text="$H$7">
      <formula>NOT(ISERROR(SEARCH($H$7,B330)))</formula>
      <formula>$H$7</formula>
    </cfRule>
    <cfRule type="containsText" dxfId="3702" priority="4951" operator="containsText" text="$H$8">
      <formula>NOT(ISERROR(SEARCH($H$8,B330)))</formula>
      <formula>$H$8</formula>
    </cfRule>
    <cfRule type="containsText" dxfId="3701" priority="4950" operator="containsText" text="$H$8">
      <formula>NOT(ISERROR(SEARCH($H$8,B330)))</formula>
      <formula>$H$8</formula>
    </cfRule>
    <cfRule type="containsText" dxfId="3700" priority="4949" operator="containsText" text="$H$9">
      <formula>NOT(ISERROR(SEARCH($H$9,B330)))</formula>
      <formula>$H$9</formula>
    </cfRule>
    <cfRule type="containsText" dxfId="3699" priority="4948" operator="containsText" text="$H$10">
      <formula>NOT(ISERROR(SEARCH($H$10,B330)))</formula>
      <formula>$H$10</formula>
    </cfRule>
    <cfRule type="containsText" dxfId="3698" priority="4947" operator="containsText" text="$H$11">
      <formula>NOT(ISERROR(SEARCH($H$11,B330)))</formula>
      <formula>$H$11</formula>
    </cfRule>
    <cfRule type="containsText" dxfId="3697" priority="4946" operator="containsText" text="$H$12">
      <formula>NOT(ISERROR(SEARCH($H$12,B330)))</formula>
      <formula>$H$12</formula>
    </cfRule>
    <cfRule type="containsText" dxfId="3696" priority="4945" operator="containsText" text="$H$13">
      <formula>NOT(ISERROR(SEARCH($H$13,B330)))</formula>
      <formula>$H$13</formula>
    </cfRule>
  </conditionalFormatting>
  <conditionalFormatting sqref="B331">
    <cfRule type="containsText" dxfId="3695" priority="4944" operator="containsText" text="$H$7">
      <formula>NOT(ISERROR(SEARCH($H$7,B331)))</formula>
      <formula>$H$7</formula>
    </cfRule>
    <cfRule type="containsText" dxfId="3694" priority="4943" operator="containsText" text="$H$8">
      <formula>NOT(ISERROR(SEARCH($H$8,B331)))</formula>
      <formula>$H$8</formula>
    </cfRule>
    <cfRule type="containsText" dxfId="3693" priority="4942" operator="containsText" text="$H$8">
      <formula>NOT(ISERROR(SEARCH($H$8,B331)))</formula>
      <formula>$H$8</formula>
    </cfRule>
    <cfRule type="containsText" dxfId="3692" priority="4941" operator="containsText" text="$H$9">
      <formula>NOT(ISERROR(SEARCH($H$9,B331)))</formula>
      <formula>$H$9</formula>
    </cfRule>
    <cfRule type="containsText" dxfId="3691" priority="4940" operator="containsText" text="$H$10">
      <formula>NOT(ISERROR(SEARCH($H$10,B331)))</formula>
      <formula>$H$10</formula>
    </cfRule>
    <cfRule type="containsText" dxfId="3690" priority="4939" operator="containsText" text="$H$11">
      <formula>NOT(ISERROR(SEARCH($H$11,B331)))</formula>
      <formula>$H$11</formula>
    </cfRule>
    <cfRule type="containsText" dxfId="3689" priority="4938" operator="containsText" text="$H$12">
      <formula>NOT(ISERROR(SEARCH($H$12,B331)))</formula>
      <formula>$H$12</formula>
    </cfRule>
    <cfRule type="containsText" dxfId="3688" priority="4937" operator="containsText" text="$H$13">
      <formula>NOT(ISERROR(SEARCH($H$13,B331)))</formula>
      <formula>$H$13</formula>
    </cfRule>
  </conditionalFormatting>
  <conditionalFormatting sqref="B331">
    <cfRule type="containsText" dxfId="3687" priority="4936" operator="containsText" text="$H$7">
      <formula>NOT(ISERROR(SEARCH($H$7,B331)))</formula>
      <formula>$H$7</formula>
    </cfRule>
    <cfRule type="containsText" dxfId="3686" priority="4935" operator="containsText" text="$H$8">
      <formula>NOT(ISERROR(SEARCH($H$8,B331)))</formula>
      <formula>$H$8</formula>
    </cfRule>
    <cfRule type="containsText" dxfId="3685" priority="4934" operator="containsText" text="$H$8">
      <formula>NOT(ISERROR(SEARCH($H$8,B331)))</formula>
      <formula>$H$8</formula>
    </cfRule>
    <cfRule type="containsText" dxfId="3684" priority="4933" operator="containsText" text="$H$9">
      <formula>NOT(ISERROR(SEARCH($H$9,B331)))</formula>
      <formula>$H$9</formula>
    </cfRule>
    <cfRule type="containsText" dxfId="3683" priority="4932" operator="containsText" text="$H$10">
      <formula>NOT(ISERROR(SEARCH($H$10,B331)))</formula>
      <formula>$H$10</formula>
    </cfRule>
    <cfRule type="containsText" dxfId="3682" priority="4931" operator="containsText" text="$H$11">
      <formula>NOT(ISERROR(SEARCH($H$11,B331)))</formula>
      <formula>$H$11</formula>
    </cfRule>
    <cfRule type="containsText" dxfId="3681" priority="4930" operator="containsText" text="$H$12">
      <formula>NOT(ISERROR(SEARCH($H$12,B331)))</formula>
      <formula>$H$12</formula>
    </cfRule>
    <cfRule type="containsText" dxfId="3680" priority="4929" operator="containsText" text="$H$13">
      <formula>NOT(ISERROR(SEARCH($H$13,B331)))</formula>
      <formula>$H$13</formula>
    </cfRule>
  </conditionalFormatting>
  <conditionalFormatting sqref="B333">
    <cfRule type="containsText" dxfId="3679" priority="4928" operator="containsText" text="$H$7">
      <formula>NOT(ISERROR(SEARCH($H$7,B333)))</formula>
      <formula>$H$7</formula>
    </cfRule>
    <cfRule type="containsText" dxfId="3678" priority="4927" operator="containsText" text="$H$8">
      <formula>NOT(ISERROR(SEARCH($H$8,B333)))</formula>
      <formula>$H$8</formula>
    </cfRule>
    <cfRule type="containsText" dxfId="3677" priority="4926" operator="containsText" text="$H$8">
      <formula>NOT(ISERROR(SEARCH($H$8,B333)))</formula>
      <formula>$H$8</formula>
    </cfRule>
    <cfRule type="containsText" dxfId="3676" priority="4925" operator="containsText" text="$H$9">
      <formula>NOT(ISERROR(SEARCH($H$9,B333)))</formula>
      <formula>$H$9</formula>
    </cfRule>
    <cfRule type="containsText" dxfId="3675" priority="4924" operator="containsText" text="$H$10">
      <formula>NOT(ISERROR(SEARCH($H$10,B333)))</formula>
      <formula>$H$10</formula>
    </cfRule>
    <cfRule type="containsText" dxfId="3674" priority="4923" operator="containsText" text="$H$11">
      <formula>NOT(ISERROR(SEARCH($H$11,B333)))</formula>
      <formula>$H$11</formula>
    </cfRule>
    <cfRule type="containsText" dxfId="3673" priority="4922" operator="containsText" text="$H$12">
      <formula>NOT(ISERROR(SEARCH($H$12,B333)))</formula>
      <formula>$H$12</formula>
    </cfRule>
    <cfRule type="containsText" dxfId="3672" priority="4921" operator="containsText" text="$H$13">
      <formula>NOT(ISERROR(SEARCH($H$13,B333)))</formula>
      <formula>$H$13</formula>
    </cfRule>
  </conditionalFormatting>
  <conditionalFormatting sqref="B333">
    <cfRule type="containsText" dxfId="3671" priority="4920" operator="containsText" text="$H$7">
      <formula>NOT(ISERROR(SEARCH($H$7,B333)))</formula>
      <formula>$H$7</formula>
    </cfRule>
    <cfRule type="containsText" dxfId="3670" priority="4919" operator="containsText" text="$H$8">
      <formula>NOT(ISERROR(SEARCH($H$8,B333)))</formula>
      <formula>$H$8</formula>
    </cfRule>
    <cfRule type="containsText" dxfId="3669" priority="4918" operator="containsText" text="$H$8">
      <formula>NOT(ISERROR(SEARCH($H$8,B333)))</formula>
      <formula>$H$8</formula>
    </cfRule>
    <cfRule type="containsText" dxfId="3668" priority="4917" operator="containsText" text="$H$9">
      <formula>NOT(ISERROR(SEARCH($H$9,B333)))</formula>
      <formula>$H$9</formula>
    </cfRule>
    <cfRule type="containsText" dxfId="3667" priority="4916" operator="containsText" text="$H$10">
      <formula>NOT(ISERROR(SEARCH($H$10,B333)))</formula>
      <formula>$H$10</formula>
    </cfRule>
    <cfRule type="containsText" dxfId="3666" priority="4915" operator="containsText" text="$H$11">
      <formula>NOT(ISERROR(SEARCH($H$11,B333)))</formula>
      <formula>$H$11</formula>
    </cfRule>
    <cfRule type="containsText" dxfId="3665" priority="4914" operator="containsText" text="$H$12">
      <formula>NOT(ISERROR(SEARCH($H$12,B333)))</formula>
      <formula>$H$12</formula>
    </cfRule>
    <cfRule type="containsText" dxfId="3664" priority="4913" operator="containsText" text="$H$13">
      <formula>NOT(ISERROR(SEARCH($H$13,B333)))</formula>
      <formula>$H$13</formula>
    </cfRule>
  </conditionalFormatting>
  <conditionalFormatting sqref="B335">
    <cfRule type="containsText" dxfId="3663" priority="4912" operator="containsText" text="$H$7">
      <formula>NOT(ISERROR(SEARCH($H$7,B335)))</formula>
      <formula>$H$7</formula>
    </cfRule>
    <cfRule type="containsText" dxfId="3662" priority="4911" operator="containsText" text="$H$8">
      <formula>NOT(ISERROR(SEARCH($H$8,B335)))</formula>
      <formula>$H$8</formula>
    </cfRule>
    <cfRule type="containsText" dxfId="3661" priority="4910" operator="containsText" text="$H$8">
      <formula>NOT(ISERROR(SEARCH($H$8,B335)))</formula>
      <formula>$H$8</formula>
    </cfRule>
    <cfRule type="containsText" dxfId="3660" priority="4909" operator="containsText" text="$H$9">
      <formula>NOT(ISERROR(SEARCH($H$9,B335)))</formula>
      <formula>$H$9</formula>
    </cfRule>
    <cfRule type="containsText" dxfId="3659" priority="4908" operator="containsText" text="$H$10">
      <formula>NOT(ISERROR(SEARCH($H$10,B335)))</formula>
      <formula>$H$10</formula>
    </cfRule>
    <cfRule type="containsText" dxfId="3658" priority="4907" operator="containsText" text="$H$11">
      <formula>NOT(ISERROR(SEARCH($H$11,B335)))</formula>
      <formula>$H$11</formula>
    </cfRule>
    <cfRule type="containsText" dxfId="3657" priority="4906" operator="containsText" text="$H$12">
      <formula>NOT(ISERROR(SEARCH($H$12,B335)))</formula>
      <formula>$H$12</formula>
    </cfRule>
    <cfRule type="containsText" dxfId="3656" priority="4905" operator="containsText" text="$H$13">
      <formula>NOT(ISERROR(SEARCH($H$13,B335)))</formula>
      <formula>$H$13</formula>
    </cfRule>
  </conditionalFormatting>
  <conditionalFormatting sqref="B335">
    <cfRule type="containsText" dxfId="3655" priority="4904" operator="containsText" text="$H$7">
      <formula>NOT(ISERROR(SEARCH($H$7,B335)))</formula>
      <formula>$H$7</formula>
    </cfRule>
    <cfRule type="containsText" dxfId="3654" priority="4903" operator="containsText" text="$H$8">
      <formula>NOT(ISERROR(SEARCH($H$8,B335)))</formula>
      <formula>$H$8</formula>
    </cfRule>
    <cfRule type="containsText" dxfId="3653" priority="4902" operator="containsText" text="$H$8">
      <formula>NOT(ISERROR(SEARCH($H$8,B335)))</formula>
      <formula>$H$8</formula>
    </cfRule>
    <cfRule type="containsText" dxfId="3652" priority="4901" operator="containsText" text="$H$9">
      <formula>NOT(ISERROR(SEARCH($H$9,B335)))</formula>
      <formula>$H$9</formula>
    </cfRule>
    <cfRule type="containsText" dxfId="3651" priority="4900" operator="containsText" text="$H$10">
      <formula>NOT(ISERROR(SEARCH($H$10,B335)))</formula>
      <formula>$H$10</formula>
    </cfRule>
    <cfRule type="containsText" dxfId="3650" priority="4899" operator="containsText" text="$H$11">
      <formula>NOT(ISERROR(SEARCH($H$11,B335)))</formula>
      <formula>$H$11</formula>
    </cfRule>
    <cfRule type="containsText" dxfId="3649" priority="4898" operator="containsText" text="$H$12">
      <formula>NOT(ISERROR(SEARCH($H$12,B335)))</formula>
      <formula>$H$12</formula>
    </cfRule>
    <cfRule type="containsText" dxfId="3648" priority="4897" operator="containsText" text="$H$13">
      <formula>NOT(ISERROR(SEARCH($H$13,B335)))</formula>
      <formula>$H$13</formula>
    </cfRule>
  </conditionalFormatting>
  <conditionalFormatting sqref="B337">
    <cfRule type="containsText" dxfId="3647" priority="4896" operator="containsText" text="$H$7">
      <formula>NOT(ISERROR(SEARCH($H$7,B337)))</formula>
      <formula>$H$7</formula>
    </cfRule>
    <cfRule type="containsText" dxfId="3646" priority="4895" operator="containsText" text="$H$8">
      <formula>NOT(ISERROR(SEARCH($H$8,B337)))</formula>
      <formula>$H$8</formula>
    </cfRule>
    <cfRule type="containsText" dxfId="3645" priority="4894" operator="containsText" text="$H$8">
      <formula>NOT(ISERROR(SEARCH($H$8,B337)))</formula>
      <formula>$H$8</formula>
    </cfRule>
    <cfRule type="containsText" dxfId="3644" priority="4893" operator="containsText" text="$H$9">
      <formula>NOT(ISERROR(SEARCH($H$9,B337)))</formula>
      <formula>$H$9</formula>
    </cfRule>
    <cfRule type="containsText" dxfId="3643" priority="4892" operator="containsText" text="$H$10">
      <formula>NOT(ISERROR(SEARCH($H$10,B337)))</formula>
      <formula>$H$10</formula>
    </cfRule>
    <cfRule type="containsText" dxfId="3642" priority="4891" operator="containsText" text="$H$11">
      <formula>NOT(ISERROR(SEARCH($H$11,B337)))</formula>
      <formula>$H$11</formula>
    </cfRule>
    <cfRule type="containsText" dxfId="3641" priority="4890" operator="containsText" text="$H$12">
      <formula>NOT(ISERROR(SEARCH($H$12,B337)))</formula>
      <formula>$H$12</formula>
    </cfRule>
    <cfRule type="containsText" dxfId="3640" priority="4889" operator="containsText" text="$H$13">
      <formula>NOT(ISERROR(SEARCH($H$13,B337)))</formula>
      <formula>$H$13</formula>
    </cfRule>
  </conditionalFormatting>
  <conditionalFormatting sqref="B337">
    <cfRule type="containsText" dxfId="3639" priority="4888" operator="containsText" text="$H$7">
      <formula>NOT(ISERROR(SEARCH($H$7,B337)))</formula>
      <formula>$H$7</formula>
    </cfRule>
    <cfRule type="containsText" dxfId="3638" priority="4887" operator="containsText" text="$H$8">
      <formula>NOT(ISERROR(SEARCH($H$8,B337)))</formula>
      <formula>$H$8</formula>
    </cfRule>
    <cfRule type="containsText" dxfId="3637" priority="4886" operator="containsText" text="$H$8">
      <formula>NOT(ISERROR(SEARCH($H$8,B337)))</formula>
      <formula>$H$8</formula>
    </cfRule>
    <cfRule type="containsText" dxfId="3636" priority="4885" operator="containsText" text="$H$9">
      <formula>NOT(ISERROR(SEARCH($H$9,B337)))</formula>
      <formula>$H$9</formula>
    </cfRule>
    <cfRule type="containsText" dxfId="3635" priority="4884" operator="containsText" text="$H$10">
      <formula>NOT(ISERROR(SEARCH($H$10,B337)))</formula>
      <formula>$H$10</formula>
    </cfRule>
    <cfRule type="containsText" dxfId="3634" priority="4883" operator="containsText" text="$H$11">
      <formula>NOT(ISERROR(SEARCH($H$11,B337)))</formula>
      <formula>$H$11</formula>
    </cfRule>
    <cfRule type="containsText" dxfId="3633" priority="4882" operator="containsText" text="$H$12">
      <formula>NOT(ISERROR(SEARCH($H$12,B337)))</formula>
      <formula>$H$12</formula>
    </cfRule>
    <cfRule type="containsText" dxfId="3632" priority="4881" operator="containsText" text="$H$13">
      <formula>NOT(ISERROR(SEARCH($H$13,B337)))</formula>
      <formula>$H$13</formula>
    </cfRule>
  </conditionalFormatting>
  <conditionalFormatting sqref="F330 F336 F334 F332">
    <cfRule type="containsText" dxfId="3631" priority="4880" operator="containsText" text="$H$7">
      <formula>NOT(ISERROR(SEARCH($H$7,F330)))</formula>
      <formula>$H$7</formula>
    </cfRule>
    <cfRule type="containsText" dxfId="3630" priority="4879" operator="containsText" text="$H$8">
      <formula>NOT(ISERROR(SEARCH($H$8,F330)))</formula>
      <formula>$H$8</formula>
    </cfRule>
    <cfRule type="containsText" dxfId="3629" priority="4878" operator="containsText" text="$H$8">
      <formula>NOT(ISERROR(SEARCH($H$8,F330)))</formula>
      <formula>$H$8</formula>
    </cfRule>
    <cfRule type="containsText" dxfId="3628" priority="4877" operator="containsText" text="$H$9">
      <formula>NOT(ISERROR(SEARCH($H$9,F330)))</formula>
      <formula>$H$9</formula>
    </cfRule>
    <cfRule type="containsText" dxfId="3627" priority="4876" operator="containsText" text="$H$10">
      <formula>NOT(ISERROR(SEARCH($H$10,F330)))</formula>
      <formula>$H$10</formula>
    </cfRule>
    <cfRule type="containsText" dxfId="3626" priority="4875" operator="containsText" text="$H$11">
      <formula>NOT(ISERROR(SEARCH($H$11,F330)))</formula>
      <formula>$H$11</formula>
    </cfRule>
    <cfRule type="containsText" dxfId="3625" priority="4874" operator="containsText" text="$H$12">
      <formula>NOT(ISERROR(SEARCH($H$12,F330)))</formula>
      <formula>$H$12</formula>
    </cfRule>
    <cfRule type="containsText" dxfId="3624" priority="4873" operator="containsText" text="$H$13">
      <formula>NOT(ISERROR(SEARCH($H$13,F330)))</formula>
      <formula>$H$13</formula>
    </cfRule>
  </conditionalFormatting>
  <conditionalFormatting sqref="F330 F336 F334 F332">
    <cfRule type="containsText" dxfId="3623" priority="4872" operator="containsText" text="$H$7">
      <formula>NOT(ISERROR(SEARCH($H$7,F330)))</formula>
      <formula>$H$7</formula>
    </cfRule>
    <cfRule type="containsText" dxfId="3622" priority="4871" operator="containsText" text="$H$8">
      <formula>NOT(ISERROR(SEARCH($H$8,F330)))</formula>
      <formula>$H$8</formula>
    </cfRule>
    <cfRule type="containsText" dxfId="3621" priority="4870" operator="containsText" text="$H$8">
      <formula>NOT(ISERROR(SEARCH($H$8,F330)))</formula>
      <formula>$H$8</formula>
    </cfRule>
    <cfRule type="containsText" dxfId="3620" priority="4869" operator="containsText" text="$H$9">
      <formula>NOT(ISERROR(SEARCH($H$9,F330)))</formula>
      <formula>$H$9</formula>
    </cfRule>
    <cfRule type="containsText" dxfId="3619" priority="4868" operator="containsText" text="$H$10">
      <formula>NOT(ISERROR(SEARCH($H$10,F330)))</formula>
      <formula>$H$10</formula>
    </cfRule>
    <cfRule type="containsText" dxfId="3618" priority="4867" operator="containsText" text="$H$11">
      <formula>NOT(ISERROR(SEARCH($H$11,F330)))</formula>
      <formula>$H$11</formula>
    </cfRule>
    <cfRule type="containsText" dxfId="3617" priority="4866" operator="containsText" text="$H$12">
      <formula>NOT(ISERROR(SEARCH($H$12,F330)))</formula>
      <formula>$H$12</formula>
    </cfRule>
    <cfRule type="containsText" dxfId="3616" priority="4865" operator="containsText" text="$H$13">
      <formula>NOT(ISERROR(SEARCH($H$13,F330)))</formula>
      <formula>$H$13</formula>
    </cfRule>
  </conditionalFormatting>
  <conditionalFormatting sqref="F331">
    <cfRule type="containsText" dxfId="3615" priority="4864" operator="containsText" text="$H$7">
      <formula>NOT(ISERROR(SEARCH($H$7,F331)))</formula>
      <formula>$H$7</formula>
    </cfRule>
    <cfRule type="containsText" dxfId="3614" priority="4863" operator="containsText" text="$H$8">
      <formula>NOT(ISERROR(SEARCH($H$8,F331)))</formula>
      <formula>$H$8</formula>
    </cfRule>
    <cfRule type="containsText" dxfId="3613" priority="4862" operator="containsText" text="$H$8">
      <formula>NOT(ISERROR(SEARCH($H$8,F331)))</formula>
      <formula>$H$8</formula>
    </cfRule>
    <cfRule type="containsText" dxfId="3612" priority="4861" operator="containsText" text="$H$9">
      <formula>NOT(ISERROR(SEARCH($H$9,F331)))</formula>
      <formula>$H$9</formula>
    </cfRule>
    <cfRule type="containsText" dxfId="3611" priority="4860" operator="containsText" text="$H$10">
      <formula>NOT(ISERROR(SEARCH($H$10,F331)))</formula>
      <formula>$H$10</formula>
    </cfRule>
    <cfRule type="containsText" dxfId="3610" priority="4859" operator="containsText" text="$H$11">
      <formula>NOT(ISERROR(SEARCH($H$11,F331)))</formula>
      <formula>$H$11</formula>
    </cfRule>
    <cfRule type="containsText" dxfId="3609" priority="4858" operator="containsText" text="$H$12">
      <formula>NOT(ISERROR(SEARCH($H$12,F331)))</formula>
      <formula>$H$12</formula>
    </cfRule>
    <cfRule type="containsText" dxfId="3608" priority="4857" operator="containsText" text="$H$13">
      <formula>NOT(ISERROR(SEARCH($H$13,F331)))</formula>
      <formula>$H$13</formula>
    </cfRule>
  </conditionalFormatting>
  <conditionalFormatting sqref="F331">
    <cfRule type="containsText" dxfId="3607" priority="4856" operator="containsText" text="$H$7">
      <formula>NOT(ISERROR(SEARCH($H$7,F331)))</formula>
      <formula>$H$7</formula>
    </cfRule>
    <cfRule type="containsText" dxfId="3606" priority="4855" operator="containsText" text="$H$8">
      <formula>NOT(ISERROR(SEARCH($H$8,F331)))</formula>
      <formula>$H$8</formula>
    </cfRule>
    <cfRule type="containsText" dxfId="3605" priority="4854" operator="containsText" text="$H$8">
      <formula>NOT(ISERROR(SEARCH($H$8,F331)))</formula>
      <formula>$H$8</formula>
    </cfRule>
    <cfRule type="containsText" dxfId="3604" priority="4853" operator="containsText" text="$H$9">
      <formula>NOT(ISERROR(SEARCH($H$9,F331)))</formula>
      <formula>$H$9</formula>
    </cfRule>
    <cfRule type="containsText" dxfId="3603" priority="4852" operator="containsText" text="$H$10">
      <formula>NOT(ISERROR(SEARCH($H$10,F331)))</formula>
      <formula>$H$10</formula>
    </cfRule>
    <cfRule type="containsText" dxfId="3602" priority="4851" operator="containsText" text="$H$11">
      <formula>NOT(ISERROR(SEARCH($H$11,F331)))</formula>
      <formula>$H$11</formula>
    </cfRule>
    <cfRule type="containsText" dxfId="3601" priority="4850" operator="containsText" text="$H$12">
      <formula>NOT(ISERROR(SEARCH($H$12,F331)))</formula>
      <formula>$H$12</formula>
    </cfRule>
    <cfRule type="containsText" dxfId="3600" priority="4849" operator="containsText" text="$H$13">
      <formula>NOT(ISERROR(SEARCH($H$13,F331)))</formula>
      <formula>$H$13</formula>
    </cfRule>
  </conditionalFormatting>
  <conditionalFormatting sqref="F333">
    <cfRule type="containsText" dxfId="3599" priority="4848" operator="containsText" text="$H$7">
      <formula>NOT(ISERROR(SEARCH($H$7,F333)))</formula>
      <formula>$H$7</formula>
    </cfRule>
    <cfRule type="containsText" dxfId="3598" priority="4847" operator="containsText" text="$H$8">
      <formula>NOT(ISERROR(SEARCH($H$8,F333)))</formula>
      <formula>$H$8</formula>
    </cfRule>
    <cfRule type="containsText" dxfId="3597" priority="4846" operator="containsText" text="$H$8">
      <formula>NOT(ISERROR(SEARCH($H$8,F333)))</formula>
      <formula>$H$8</formula>
    </cfRule>
    <cfRule type="containsText" dxfId="3596" priority="4845" operator="containsText" text="$H$9">
      <formula>NOT(ISERROR(SEARCH($H$9,F333)))</formula>
      <formula>$H$9</formula>
    </cfRule>
    <cfRule type="containsText" dxfId="3595" priority="4844" operator="containsText" text="$H$10">
      <formula>NOT(ISERROR(SEARCH($H$10,F333)))</formula>
      <formula>$H$10</formula>
    </cfRule>
    <cfRule type="containsText" dxfId="3594" priority="4843" operator="containsText" text="$H$11">
      <formula>NOT(ISERROR(SEARCH($H$11,F333)))</formula>
      <formula>$H$11</formula>
    </cfRule>
    <cfRule type="containsText" dxfId="3593" priority="4842" operator="containsText" text="$H$12">
      <formula>NOT(ISERROR(SEARCH($H$12,F333)))</formula>
      <formula>$H$12</formula>
    </cfRule>
    <cfRule type="containsText" dxfId="3592" priority="4841" operator="containsText" text="$H$13">
      <formula>NOT(ISERROR(SEARCH($H$13,F333)))</formula>
      <formula>$H$13</formula>
    </cfRule>
  </conditionalFormatting>
  <conditionalFormatting sqref="F333">
    <cfRule type="containsText" dxfId="3591" priority="4840" operator="containsText" text="$H$7">
      <formula>NOT(ISERROR(SEARCH($H$7,F333)))</formula>
      <formula>$H$7</formula>
    </cfRule>
    <cfRule type="containsText" dxfId="3590" priority="4839" operator="containsText" text="$H$8">
      <formula>NOT(ISERROR(SEARCH($H$8,F333)))</formula>
      <formula>$H$8</formula>
    </cfRule>
    <cfRule type="containsText" dxfId="3589" priority="4838" operator="containsText" text="$H$8">
      <formula>NOT(ISERROR(SEARCH($H$8,F333)))</formula>
      <formula>$H$8</formula>
    </cfRule>
    <cfRule type="containsText" dxfId="3588" priority="4837" operator="containsText" text="$H$9">
      <formula>NOT(ISERROR(SEARCH($H$9,F333)))</formula>
      <formula>$H$9</formula>
    </cfRule>
    <cfRule type="containsText" dxfId="3587" priority="4836" operator="containsText" text="$H$10">
      <formula>NOT(ISERROR(SEARCH($H$10,F333)))</formula>
      <formula>$H$10</formula>
    </cfRule>
    <cfRule type="containsText" dxfId="3586" priority="4835" operator="containsText" text="$H$11">
      <formula>NOT(ISERROR(SEARCH($H$11,F333)))</formula>
      <formula>$H$11</formula>
    </cfRule>
    <cfRule type="containsText" dxfId="3585" priority="4834" operator="containsText" text="$H$12">
      <formula>NOT(ISERROR(SEARCH($H$12,F333)))</formula>
      <formula>$H$12</formula>
    </cfRule>
    <cfRule type="containsText" dxfId="3584" priority="4833" operator="containsText" text="$H$13">
      <formula>NOT(ISERROR(SEARCH($H$13,F333)))</formula>
      <formula>$H$13</formula>
    </cfRule>
  </conditionalFormatting>
  <conditionalFormatting sqref="F335">
    <cfRule type="containsText" dxfId="3583" priority="4832" operator="containsText" text="$H$7">
      <formula>NOT(ISERROR(SEARCH($H$7,F335)))</formula>
      <formula>$H$7</formula>
    </cfRule>
    <cfRule type="containsText" dxfId="3582" priority="4831" operator="containsText" text="$H$8">
      <formula>NOT(ISERROR(SEARCH($H$8,F335)))</formula>
      <formula>$H$8</formula>
    </cfRule>
    <cfRule type="containsText" dxfId="3581" priority="4830" operator="containsText" text="$H$8">
      <formula>NOT(ISERROR(SEARCH($H$8,F335)))</formula>
      <formula>$H$8</formula>
    </cfRule>
    <cfRule type="containsText" dxfId="3580" priority="4829" operator="containsText" text="$H$9">
      <formula>NOT(ISERROR(SEARCH($H$9,F335)))</formula>
      <formula>$H$9</formula>
    </cfRule>
    <cfRule type="containsText" dxfId="3579" priority="4828" operator="containsText" text="$H$10">
      <formula>NOT(ISERROR(SEARCH($H$10,F335)))</formula>
      <formula>$H$10</formula>
    </cfRule>
    <cfRule type="containsText" dxfId="3578" priority="4827" operator="containsText" text="$H$11">
      <formula>NOT(ISERROR(SEARCH($H$11,F335)))</formula>
      <formula>$H$11</formula>
    </cfRule>
    <cfRule type="containsText" dxfId="3577" priority="4826" operator="containsText" text="$H$12">
      <formula>NOT(ISERROR(SEARCH($H$12,F335)))</formula>
      <formula>$H$12</formula>
    </cfRule>
    <cfRule type="containsText" dxfId="3576" priority="4825" operator="containsText" text="$H$13">
      <formula>NOT(ISERROR(SEARCH($H$13,F335)))</formula>
      <formula>$H$13</formula>
    </cfRule>
  </conditionalFormatting>
  <conditionalFormatting sqref="F335">
    <cfRule type="containsText" dxfId="3575" priority="4824" operator="containsText" text="$H$7">
      <formula>NOT(ISERROR(SEARCH($H$7,F335)))</formula>
      <formula>$H$7</formula>
    </cfRule>
    <cfRule type="containsText" dxfId="3574" priority="4823" operator="containsText" text="$H$8">
      <formula>NOT(ISERROR(SEARCH($H$8,F335)))</formula>
      <formula>$H$8</formula>
    </cfRule>
    <cfRule type="containsText" dxfId="3573" priority="4822" operator="containsText" text="$H$8">
      <formula>NOT(ISERROR(SEARCH($H$8,F335)))</formula>
      <formula>$H$8</formula>
    </cfRule>
    <cfRule type="containsText" dxfId="3572" priority="4821" operator="containsText" text="$H$9">
      <formula>NOT(ISERROR(SEARCH($H$9,F335)))</formula>
      <formula>$H$9</formula>
    </cfRule>
    <cfRule type="containsText" dxfId="3571" priority="4820" operator="containsText" text="$H$10">
      <formula>NOT(ISERROR(SEARCH($H$10,F335)))</formula>
      <formula>$H$10</formula>
    </cfRule>
    <cfRule type="containsText" dxfId="3570" priority="4819" operator="containsText" text="$H$11">
      <formula>NOT(ISERROR(SEARCH($H$11,F335)))</formula>
      <formula>$H$11</formula>
    </cfRule>
    <cfRule type="containsText" dxfId="3569" priority="4818" operator="containsText" text="$H$12">
      <formula>NOT(ISERROR(SEARCH($H$12,F335)))</formula>
      <formula>$H$12</formula>
    </cfRule>
    <cfRule type="containsText" dxfId="3568" priority="4817" operator="containsText" text="$H$13">
      <formula>NOT(ISERROR(SEARCH($H$13,F335)))</formula>
      <formula>$H$13</formula>
    </cfRule>
  </conditionalFormatting>
  <conditionalFormatting sqref="F337">
    <cfRule type="containsText" dxfId="3567" priority="4816" operator="containsText" text="$H$7">
      <formula>NOT(ISERROR(SEARCH($H$7,F337)))</formula>
      <formula>$H$7</formula>
    </cfRule>
    <cfRule type="containsText" dxfId="3566" priority="4815" operator="containsText" text="$H$8">
      <formula>NOT(ISERROR(SEARCH($H$8,F337)))</formula>
      <formula>$H$8</formula>
    </cfRule>
    <cfRule type="containsText" dxfId="3565" priority="4814" operator="containsText" text="$H$8">
      <formula>NOT(ISERROR(SEARCH($H$8,F337)))</formula>
      <formula>$H$8</formula>
    </cfRule>
    <cfRule type="containsText" dxfId="3564" priority="4813" operator="containsText" text="$H$9">
      <formula>NOT(ISERROR(SEARCH($H$9,F337)))</formula>
      <formula>$H$9</formula>
    </cfRule>
    <cfRule type="containsText" dxfId="3563" priority="4812" operator="containsText" text="$H$10">
      <formula>NOT(ISERROR(SEARCH($H$10,F337)))</formula>
      <formula>$H$10</formula>
    </cfRule>
    <cfRule type="containsText" dxfId="3562" priority="4811" operator="containsText" text="$H$11">
      <formula>NOT(ISERROR(SEARCH($H$11,F337)))</formula>
      <formula>$H$11</formula>
    </cfRule>
    <cfRule type="containsText" dxfId="3561" priority="4810" operator="containsText" text="$H$12">
      <formula>NOT(ISERROR(SEARCH($H$12,F337)))</formula>
      <formula>$H$12</formula>
    </cfRule>
    <cfRule type="containsText" dxfId="3560" priority="4809" operator="containsText" text="$H$13">
      <formula>NOT(ISERROR(SEARCH($H$13,F337)))</formula>
      <formula>$H$13</formula>
    </cfRule>
  </conditionalFormatting>
  <conditionalFormatting sqref="F337">
    <cfRule type="containsText" dxfId="3559" priority="4808" operator="containsText" text="$H$7">
      <formula>NOT(ISERROR(SEARCH($H$7,F337)))</formula>
      <formula>$H$7</formula>
    </cfRule>
    <cfRule type="containsText" dxfId="3558" priority="4807" operator="containsText" text="$H$8">
      <formula>NOT(ISERROR(SEARCH($H$8,F337)))</formula>
      <formula>$H$8</formula>
    </cfRule>
    <cfRule type="containsText" dxfId="3557" priority="4806" operator="containsText" text="$H$8">
      <formula>NOT(ISERROR(SEARCH($H$8,F337)))</formula>
      <formula>$H$8</formula>
    </cfRule>
    <cfRule type="containsText" dxfId="3556" priority="4805" operator="containsText" text="$H$9">
      <formula>NOT(ISERROR(SEARCH($H$9,F337)))</formula>
      <formula>$H$9</formula>
    </cfRule>
    <cfRule type="containsText" dxfId="3555" priority="4804" operator="containsText" text="$H$10">
      <formula>NOT(ISERROR(SEARCH($H$10,F337)))</formula>
      <formula>$H$10</formula>
    </cfRule>
    <cfRule type="containsText" dxfId="3554" priority="4803" operator="containsText" text="$H$11">
      <formula>NOT(ISERROR(SEARCH($H$11,F337)))</formula>
      <formula>$H$11</formula>
    </cfRule>
    <cfRule type="containsText" dxfId="3553" priority="4802" operator="containsText" text="$H$12">
      <formula>NOT(ISERROR(SEARCH($H$12,F337)))</formula>
      <formula>$H$12</formula>
    </cfRule>
    <cfRule type="containsText" dxfId="3552" priority="4801" operator="containsText" text="$H$13">
      <formula>NOT(ISERROR(SEARCH($H$13,F337)))</formula>
      <formula>$H$13</formula>
    </cfRule>
  </conditionalFormatting>
  <conditionalFormatting sqref="F312 F318 F316 F314">
    <cfRule type="containsText" dxfId="3551" priority="4800" operator="containsText" text="$H$7">
      <formula>NOT(ISERROR(SEARCH($H$7,F312)))</formula>
      <formula>$H$7</formula>
    </cfRule>
    <cfRule type="containsText" dxfId="3550" priority="4799" operator="containsText" text="$H$8">
      <formula>NOT(ISERROR(SEARCH($H$8,F312)))</formula>
      <formula>$H$8</formula>
    </cfRule>
    <cfRule type="containsText" dxfId="3549" priority="4798" operator="containsText" text="$H$8">
      <formula>NOT(ISERROR(SEARCH($H$8,F312)))</formula>
      <formula>$H$8</formula>
    </cfRule>
    <cfRule type="containsText" dxfId="3548" priority="4797" operator="containsText" text="$H$9">
      <formula>NOT(ISERROR(SEARCH($H$9,F312)))</formula>
      <formula>$H$9</formula>
    </cfRule>
    <cfRule type="containsText" dxfId="3547" priority="4796" operator="containsText" text="$H$10">
      <formula>NOT(ISERROR(SEARCH($H$10,F312)))</formula>
      <formula>$H$10</formula>
    </cfRule>
    <cfRule type="containsText" dxfId="3546" priority="4795" operator="containsText" text="$H$11">
      <formula>NOT(ISERROR(SEARCH($H$11,F312)))</formula>
      <formula>$H$11</formula>
    </cfRule>
    <cfRule type="containsText" dxfId="3545" priority="4794" operator="containsText" text="$H$12">
      <formula>NOT(ISERROR(SEARCH($H$12,F312)))</formula>
      <formula>$H$12</formula>
    </cfRule>
    <cfRule type="containsText" dxfId="3544" priority="4793" operator="containsText" text="$H$13">
      <formula>NOT(ISERROR(SEARCH($H$13,F312)))</formula>
      <formula>$H$13</formula>
    </cfRule>
  </conditionalFormatting>
  <conditionalFormatting sqref="F312 F318 F316 F314">
    <cfRule type="containsText" dxfId="3543" priority="4792" operator="containsText" text="$H$7">
      <formula>NOT(ISERROR(SEARCH($H$7,F312)))</formula>
      <formula>$H$7</formula>
    </cfRule>
    <cfRule type="containsText" dxfId="3542" priority="4791" operator="containsText" text="$H$8">
      <formula>NOT(ISERROR(SEARCH($H$8,F312)))</formula>
      <formula>$H$8</formula>
    </cfRule>
    <cfRule type="containsText" dxfId="3541" priority="4790" operator="containsText" text="$H$8">
      <formula>NOT(ISERROR(SEARCH($H$8,F312)))</formula>
      <formula>$H$8</formula>
    </cfRule>
    <cfRule type="containsText" dxfId="3540" priority="4789" operator="containsText" text="$H$9">
      <formula>NOT(ISERROR(SEARCH($H$9,F312)))</formula>
      <formula>$H$9</formula>
    </cfRule>
    <cfRule type="containsText" dxfId="3539" priority="4788" operator="containsText" text="$H$10">
      <formula>NOT(ISERROR(SEARCH($H$10,F312)))</formula>
      <formula>$H$10</formula>
    </cfRule>
    <cfRule type="containsText" dxfId="3538" priority="4787" operator="containsText" text="$H$11">
      <formula>NOT(ISERROR(SEARCH($H$11,F312)))</formula>
      <formula>$H$11</formula>
    </cfRule>
    <cfRule type="containsText" dxfId="3537" priority="4786" operator="containsText" text="$H$12">
      <formula>NOT(ISERROR(SEARCH($H$12,F312)))</formula>
      <formula>$H$12</formula>
    </cfRule>
    <cfRule type="containsText" dxfId="3536" priority="4785" operator="containsText" text="$H$13">
      <formula>NOT(ISERROR(SEARCH($H$13,F312)))</formula>
      <formula>$H$13</formula>
    </cfRule>
  </conditionalFormatting>
  <conditionalFormatting sqref="F313">
    <cfRule type="containsText" dxfId="3535" priority="4784" operator="containsText" text="$H$7">
      <formula>NOT(ISERROR(SEARCH($H$7,F313)))</formula>
      <formula>$H$7</formula>
    </cfRule>
    <cfRule type="containsText" dxfId="3534" priority="4783" operator="containsText" text="$H$8">
      <formula>NOT(ISERROR(SEARCH($H$8,F313)))</formula>
      <formula>$H$8</formula>
    </cfRule>
    <cfRule type="containsText" dxfId="3533" priority="4782" operator="containsText" text="$H$8">
      <formula>NOT(ISERROR(SEARCH($H$8,F313)))</formula>
      <formula>$H$8</formula>
    </cfRule>
    <cfRule type="containsText" dxfId="3532" priority="4781" operator="containsText" text="$H$9">
      <formula>NOT(ISERROR(SEARCH($H$9,F313)))</formula>
      <formula>$H$9</formula>
    </cfRule>
    <cfRule type="containsText" dxfId="3531" priority="4780" operator="containsText" text="$H$10">
      <formula>NOT(ISERROR(SEARCH($H$10,F313)))</formula>
      <formula>$H$10</formula>
    </cfRule>
    <cfRule type="containsText" dxfId="3530" priority="4779" operator="containsText" text="$H$11">
      <formula>NOT(ISERROR(SEARCH($H$11,F313)))</formula>
      <formula>$H$11</formula>
    </cfRule>
    <cfRule type="containsText" dxfId="3529" priority="4778" operator="containsText" text="$H$12">
      <formula>NOT(ISERROR(SEARCH($H$12,F313)))</formula>
      <formula>$H$12</formula>
    </cfRule>
    <cfRule type="containsText" dxfId="3528" priority="4777" operator="containsText" text="$H$13">
      <formula>NOT(ISERROR(SEARCH($H$13,F313)))</formula>
      <formula>$H$13</formula>
    </cfRule>
  </conditionalFormatting>
  <conditionalFormatting sqref="F313">
    <cfRule type="containsText" dxfId="3527" priority="4776" operator="containsText" text="$H$7">
      <formula>NOT(ISERROR(SEARCH($H$7,F313)))</formula>
      <formula>$H$7</formula>
    </cfRule>
    <cfRule type="containsText" dxfId="3526" priority="4775" operator="containsText" text="$H$8">
      <formula>NOT(ISERROR(SEARCH($H$8,F313)))</formula>
      <formula>$H$8</formula>
    </cfRule>
    <cfRule type="containsText" dxfId="3525" priority="4774" operator="containsText" text="$H$8">
      <formula>NOT(ISERROR(SEARCH($H$8,F313)))</formula>
      <formula>$H$8</formula>
    </cfRule>
    <cfRule type="containsText" dxfId="3524" priority="4773" operator="containsText" text="$H$9">
      <formula>NOT(ISERROR(SEARCH($H$9,F313)))</formula>
      <formula>$H$9</formula>
    </cfRule>
    <cfRule type="containsText" dxfId="3523" priority="4772" operator="containsText" text="$H$10">
      <formula>NOT(ISERROR(SEARCH($H$10,F313)))</formula>
      <formula>$H$10</formula>
    </cfRule>
    <cfRule type="containsText" dxfId="3522" priority="4771" operator="containsText" text="$H$11">
      <formula>NOT(ISERROR(SEARCH($H$11,F313)))</formula>
      <formula>$H$11</formula>
    </cfRule>
    <cfRule type="containsText" dxfId="3521" priority="4770" operator="containsText" text="$H$12">
      <formula>NOT(ISERROR(SEARCH($H$12,F313)))</formula>
      <formula>$H$12</formula>
    </cfRule>
    <cfRule type="containsText" dxfId="3520" priority="4769" operator="containsText" text="$H$13">
      <formula>NOT(ISERROR(SEARCH($H$13,F313)))</formula>
      <formula>$H$13</formula>
    </cfRule>
  </conditionalFormatting>
  <conditionalFormatting sqref="F315">
    <cfRule type="containsText" dxfId="3519" priority="4768" operator="containsText" text="$H$7">
      <formula>NOT(ISERROR(SEARCH($H$7,F315)))</formula>
      <formula>$H$7</formula>
    </cfRule>
    <cfRule type="containsText" dxfId="3518" priority="4767" operator="containsText" text="$H$8">
      <formula>NOT(ISERROR(SEARCH($H$8,F315)))</formula>
      <formula>$H$8</formula>
    </cfRule>
    <cfRule type="containsText" dxfId="3517" priority="4766" operator="containsText" text="$H$8">
      <formula>NOT(ISERROR(SEARCH($H$8,F315)))</formula>
      <formula>$H$8</formula>
    </cfRule>
    <cfRule type="containsText" dxfId="3516" priority="4765" operator="containsText" text="$H$9">
      <formula>NOT(ISERROR(SEARCH($H$9,F315)))</formula>
      <formula>$H$9</formula>
    </cfRule>
    <cfRule type="containsText" dxfId="3515" priority="4764" operator="containsText" text="$H$10">
      <formula>NOT(ISERROR(SEARCH($H$10,F315)))</formula>
      <formula>$H$10</formula>
    </cfRule>
    <cfRule type="containsText" dxfId="3514" priority="4763" operator="containsText" text="$H$11">
      <formula>NOT(ISERROR(SEARCH($H$11,F315)))</formula>
      <formula>$H$11</formula>
    </cfRule>
    <cfRule type="containsText" dxfId="3513" priority="4762" operator="containsText" text="$H$12">
      <formula>NOT(ISERROR(SEARCH($H$12,F315)))</formula>
      <formula>$H$12</formula>
    </cfRule>
    <cfRule type="containsText" dxfId="3512" priority="4761" operator="containsText" text="$H$13">
      <formula>NOT(ISERROR(SEARCH($H$13,F315)))</formula>
      <formula>$H$13</formula>
    </cfRule>
  </conditionalFormatting>
  <conditionalFormatting sqref="F315">
    <cfRule type="containsText" dxfId="3511" priority="4760" operator="containsText" text="$H$7">
      <formula>NOT(ISERROR(SEARCH($H$7,F315)))</formula>
      <formula>$H$7</formula>
    </cfRule>
    <cfRule type="containsText" dxfId="3510" priority="4759" operator="containsText" text="$H$8">
      <formula>NOT(ISERROR(SEARCH($H$8,F315)))</formula>
      <formula>$H$8</formula>
    </cfRule>
    <cfRule type="containsText" dxfId="3509" priority="4758" operator="containsText" text="$H$8">
      <formula>NOT(ISERROR(SEARCH($H$8,F315)))</formula>
      <formula>$H$8</formula>
    </cfRule>
    <cfRule type="containsText" dxfId="3508" priority="4757" operator="containsText" text="$H$9">
      <formula>NOT(ISERROR(SEARCH($H$9,F315)))</formula>
      <formula>$H$9</formula>
    </cfRule>
    <cfRule type="containsText" dxfId="3507" priority="4756" operator="containsText" text="$H$10">
      <formula>NOT(ISERROR(SEARCH($H$10,F315)))</formula>
      <formula>$H$10</formula>
    </cfRule>
    <cfRule type="containsText" dxfId="3506" priority="4755" operator="containsText" text="$H$11">
      <formula>NOT(ISERROR(SEARCH($H$11,F315)))</formula>
      <formula>$H$11</formula>
    </cfRule>
    <cfRule type="containsText" dxfId="3505" priority="4754" operator="containsText" text="$H$12">
      <formula>NOT(ISERROR(SEARCH($H$12,F315)))</formula>
      <formula>$H$12</formula>
    </cfRule>
    <cfRule type="containsText" dxfId="3504" priority="4753" operator="containsText" text="$H$13">
      <formula>NOT(ISERROR(SEARCH($H$13,F315)))</formula>
      <formula>$H$13</formula>
    </cfRule>
  </conditionalFormatting>
  <conditionalFormatting sqref="F317">
    <cfRule type="containsText" dxfId="3503" priority="4752" operator="containsText" text="$H$7">
      <formula>NOT(ISERROR(SEARCH($H$7,F317)))</formula>
      <formula>$H$7</formula>
    </cfRule>
    <cfRule type="containsText" dxfId="3502" priority="4751" operator="containsText" text="$H$8">
      <formula>NOT(ISERROR(SEARCH($H$8,F317)))</formula>
      <formula>$H$8</formula>
    </cfRule>
    <cfRule type="containsText" dxfId="3501" priority="4750" operator="containsText" text="$H$8">
      <formula>NOT(ISERROR(SEARCH($H$8,F317)))</formula>
      <formula>$H$8</formula>
    </cfRule>
    <cfRule type="containsText" dxfId="3500" priority="4749" operator="containsText" text="$H$9">
      <formula>NOT(ISERROR(SEARCH($H$9,F317)))</formula>
      <formula>$H$9</formula>
    </cfRule>
    <cfRule type="containsText" dxfId="3499" priority="4748" operator="containsText" text="$H$10">
      <formula>NOT(ISERROR(SEARCH($H$10,F317)))</formula>
      <formula>$H$10</formula>
    </cfRule>
    <cfRule type="containsText" dxfId="3498" priority="4747" operator="containsText" text="$H$11">
      <formula>NOT(ISERROR(SEARCH($H$11,F317)))</formula>
      <formula>$H$11</formula>
    </cfRule>
    <cfRule type="containsText" dxfId="3497" priority="4746" operator="containsText" text="$H$12">
      <formula>NOT(ISERROR(SEARCH($H$12,F317)))</formula>
      <formula>$H$12</formula>
    </cfRule>
    <cfRule type="containsText" dxfId="3496" priority="4745" operator="containsText" text="$H$13">
      <formula>NOT(ISERROR(SEARCH($H$13,F317)))</formula>
      <formula>$H$13</formula>
    </cfRule>
  </conditionalFormatting>
  <conditionalFormatting sqref="F317">
    <cfRule type="containsText" dxfId="3495" priority="4744" operator="containsText" text="$H$7">
      <formula>NOT(ISERROR(SEARCH($H$7,F317)))</formula>
      <formula>$H$7</formula>
    </cfRule>
    <cfRule type="containsText" dxfId="3494" priority="4743" operator="containsText" text="$H$8">
      <formula>NOT(ISERROR(SEARCH($H$8,F317)))</formula>
      <formula>$H$8</formula>
    </cfRule>
    <cfRule type="containsText" dxfId="3493" priority="4742" operator="containsText" text="$H$8">
      <formula>NOT(ISERROR(SEARCH($H$8,F317)))</formula>
      <formula>$H$8</formula>
    </cfRule>
    <cfRule type="containsText" dxfId="3492" priority="4741" operator="containsText" text="$H$9">
      <formula>NOT(ISERROR(SEARCH($H$9,F317)))</formula>
      <formula>$H$9</formula>
    </cfRule>
    <cfRule type="containsText" dxfId="3491" priority="4740" operator="containsText" text="$H$10">
      <formula>NOT(ISERROR(SEARCH($H$10,F317)))</formula>
      <formula>$H$10</formula>
    </cfRule>
    <cfRule type="containsText" dxfId="3490" priority="4739" operator="containsText" text="$H$11">
      <formula>NOT(ISERROR(SEARCH($H$11,F317)))</formula>
      <formula>$H$11</formula>
    </cfRule>
    <cfRule type="containsText" dxfId="3489" priority="4738" operator="containsText" text="$H$12">
      <formula>NOT(ISERROR(SEARCH($H$12,F317)))</formula>
      <formula>$H$12</formula>
    </cfRule>
    <cfRule type="containsText" dxfId="3488" priority="4737" operator="containsText" text="$H$13">
      <formula>NOT(ISERROR(SEARCH($H$13,F317)))</formula>
      <formula>$H$13</formula>
    </cfRule>
  </conditionalFormatting>
  <conditionalFormatting sqref="F319">
    <cfRule type="containsText" dxfId="3487" priority="4736" operator="containsText" text="$H$7">
      <formula>NOT(ISERROR(SEARCH($H$7,F319)))</formula>
      <formula>$H$7</formula>
    </cfRule>
    <cfRule type="containsText" dxfId="3486" priority="4735" operator="containsText" text="$H$8">
      <formula>NOT(ISERROR(SEARCH($H$8,F319)))</formula>
      <formula>$H$8</formula>
    </cfRule>
    <cfRule type="containsText" dxfId="3485" priority="4734" operator="containsText" text="$H$8">
      <formula>NOT(ISERROR(SEARCH($H$8,F319)))</formula>
      <formula>$H$8</formula>
    </cfRule>
    <cfRule type="containsText" dxfId="3484" priority="4733" operator="containsText" text="$H$9">
      <formula>NOT(ISERROR(SEARCH($H$9,F319)))</formula>
      <formula>$H$9</formula>
    </cfRule>
    <cfRule type="containsText" dxfId="3483" priority="4732" operator="containsText" text="$H$10">
      <formula>NOT(ISERROR(SEARCH($H$10,F319)))</formula>
      <formula>$H$10</formula>
    </cfRule>
    <cfRule type="containsText" dxfId="3482" priority="4731" operator="containsText" text="$H$11">
      <formula>NOT(ISERROR(SEARCH($H$11,F319)))</formula>
      <formula>$H$11</formula>
    </cfRule>
    <cfRule type="containsText" dxfId="3481" priority="4730" operator="containsText" text="$H$12">
      <formula>NOT(ISERROR(SEARCH($H$12,F319)))</formula>
      <formula>$H$12</formula>
    </cfRule>
    <cfRule type="containsText" dxfId="3480" priority="4729" operator="containsText" text="$H$13">
      <formula>NOT(ISERROR(SEARCH($H$13,F319)))</formula>
      <formula>$H$13</formula>
    </cfRule>
  </conditionalFormatting>
  <conditionalFormatting sqref="F319">
    <cfRule type="containsText" dxfId="3479" priority="4728" operator="containsText" text="$H$7">
      <formula>NOT(ISERROR(SEARCH($H$7,F319)))</formula>
      <formula>$H$7</formula>
    </cfRule>
    <cfRule type="containsText" dxfId="3478" priority="4727" operator="containsText" text="$H$8">
      <formula>NOT(ISERROR(SEARCH($H$8,F319)))</formula>
      <formula>$H$8</formula>
    </cfRule>
    <cfRule type="containsText" dxfId="3477" priority="4726" operator="containsText" text="$H$8">
      <formula>NOT(ISERROR(SEARCH($H$8,F319)))</formula>
      <formula>$H$8</formula>
    </cfRule>
    <cfRule type="containsText" dxfId="3476" priority="4725" operator="containsText" text="$H$9">
      <formula>NOT(ISERROR(SEARCH($H$9,F319)))</formula>
      <formula>$H$9</formula>
    </cfRule>
    <cfRule type="containsText" dxfId="3475" priority="4724" operator="containsText" text="$H$10">
      <formula>NOT(ISERROR(SEARCH($H$10,F319)))</formula>
      <formula>$H$10</formula>
    </cfRule>
    <cfRule type="containsText" dxfId="3474" priority="4723" operator="containsText" text="$H$11">
      <formula>NOT(ISERROR(SEARCH($H$11,F319)))</formula>
      <formula>$H$11</formula>
    </cfRule>
    <cfRule type="containsText" dxfId="3473" priority="4722" operator="containsText" text="$H$12">
      <formula>NOT(ISERROR(SEARCH($H$12,F319)))</formula>
      <formula>$H$12</formula>
    </cfRule>
    <cfRule type="containsText" dxfId="3472" priority="4721" operator="containsText" text="$H$13">
      <formula>NOT(ISERROR(SEARCH($H$13,F319)))</formula>
      <formula>$H$13</formula>
    </cfRule>
  </conditionalFormatting>
  <conditionalFormatting sqref="B356 B362 B360 B358">
    <cfRule type="containsText" dxfId="3471" priority="4720" operator="containsText" text="$H$7">
      <formula>NOT(ISERROR(SEARCH($H$7,B356)))</formula>
      <formula>$H$7</formula>
    </cfRule>
    <cfRule type="containsText" dxfId="3470" priority="4719" operator="containsText" text="$H$8">
      <formula>NOT(ISERROR(SEARCH($H$8,B356)))</formula>
      <formula>$H$8</formula>
    </cfRule>
    <cfRule type="containsText" dxfId="3469" priority="4718" operator="containsText" text="$H$8">
      <formula>NOT(ISERROR(SEARCH($H$8,B356)))</formula>
      <formula>$H$8</formula>
    </cfRule>
    <cfRule type="containsText" dxfId="3468" priority="4717" operator="containsText" text="$H$9">
      <formula>NOT(ISERROR(SEARCH($H$9,B356)))</formula>
      <formula>$H$9</formula>
    </cfRule>
    <cfRule type="containsText" dxfId="3467" priority="4716" operator="containsText" text="$H$10">
      <formula>NOT(ISERROR(SEARCH($H$10,B356)))</formula>
      <formula>$H$10</formula>
    </cfRule>
    <cfRule type="containsText" dxfId="3466" priority="4715" operator="containsText" text="$H$11">
      <formula>NOT(ISERROR(SEARCH($H$11,B356)))</formula>
      <formula>$H$11</formula>
    </cfRule>
    <cfRule type="containsText" dxfId="3465" priority="4714" operator="containsText" text="$H$12">
      <formula>NOT(ISERROR(SEARCH($H$12,B356)))</formula>
      <formula>$H$12</formula>
    </cfRule>
    <cfRule type="containsText" dxfId="3464" priority="4713" operator="containsText" text="$H$13">
      <formula>NOT(ISERROR(SEARCH($H$13,B356)))</formula>
      <formula>$H$13</formula>
    </cfRule>
  </conditionalFormatting>
  <conditionalFormatting sqref="B356 B362 B360 B358">
    <cfRule type="containsText" dxfId="3463" priority="4712" operator="containsText" text="$H$7">
      <formula>NOT(ISERROR(SEARCH($H$7,B356)))</formula>
      <formula>$H$7</formula>
    </cfRule>
    <cfRule type="containsText" dxfId="3462" priority="4711" operator="containsText" text="$H$8">
      <formula>NOT(ISERROR(SEARCH($H$8,B356)))</formula>
      <formula>$H$8</formula>
    </cfRule>
    <cfRule type="containsText" dxfId="3461" priority="4710" operator="containsText" text="$H$8">
      <formula>NOT(ISERROR(SEARCH($H$8,B356)))</formula>
      <formula>$H$8</formula>
    </cfRule>
    <cfRule type="containsText" dxfId="3460" priority="4709" operator="containsText" text="$H$9">
      <formula>NOT(ISERROR(SEARCH($H$9,B356)))</formula>
      <formula>$H$9</formula>
    </cfRule>
    <cfRule type="containsText" dxfId="3459" priority="4708" operator="containsText" text="$H$10">
      <formula>NOT(ISERROR(SEARCH($H$10,B356)))</formula>
      <formula>$H$10</formula>
    </cfRule>
    <cfRule type="containsText" dxfId="3458" priority="4707" operator="containsText" text="$H$11">
      <formula>NOT(ISERROR(SEARCH($H$11,B356)))</formula>
      <formula>$H$11</formula>
    </cfRule>
    <cfRule type="containsText" dxfId="3457" priority="4706" operator="containsText" text="$H$12">
      <formula>NOT(ISERROR(SEARCH($H$12,B356)))</formula>
      <formula>$H$12</formula>
    </cfRule>
    <cfRule type="containsText" dxfId="3456" priority="4705" operator="containsText" text="$H$13">
      <formula>NOT(ISERROR(SEARCH($H$13,B356)))</formula>
      <formula>$H$13</formula>
    </cfRule>
  </conditionalFormatting>
  <conditionalFormatting sqref="B357">
    <cfRule type="containsText" dxfId="3455" priority="4704" operator="containsText" text="$H$7">
      <formula>NOT(ISERROR(SEARCH($H$7,B357)))</formula>
      <formula>$H$7</formula>
    </cfRule>
    <cfRule type="containsText" dxfId="3454" priority="4703" operator="containsText" text="$H$8">
      <formula>NOT(ISERROR(SEARCH($H$8,B357)))</formula>
      <formula>$H$8</formula>
    </cfRule>
    <cfRule type="containsText" dxfId="3453" priority="4702" operator="containsText" text="$H$8">
      <formula>NOT(ISERROR(SEARCH($H$8,B357)))</formula>
      <formula>$H$8</formula>
    </cfRule>
    <cfRule type="containsText" dxfId="3452" priority="4701" operator="containsText" text="$H$9">
      <formula>NOT(ISERROR(SEARCH($H$9,B357)))</formula>
      <formula>$H$9</formula>
    </cfRule>
    <cfRule type="containsText" dxfId="3451" priority="4700" operator="containsText" text="$H$10">
      <formula>NOT(ISERROR(SEARCH($H$10,B357)))</formula>
      <formula>$H$10</formula>
    </cfRule>
    <cfRule type="containsText" dxfId="3450" priority="4699" operator="containsText" text="$H$11">
      <formula>NOT(ISERROR(SEARCH($H$11,B357)))</formula>
      <formula>$H$11</formula>
    </cfRule>
    <cfRule type="containsText" dxfId="3449" priority="4698" operator="containsText" text="$H$12">
      <formula>NOT(ISERROR(SEARCH($H$12,B357)))</formula>
      <formula>$H$12</formula>
    </cfRule>
    <cfRule type="containsText" dxfId="3448" priority="4697" operator="containsText" text="$H$13">
      <formula>NOT(ISERROR(SEARCH($H$13,B357)))</formula>
      <formula>$H$13</formula>
    </cfRule>
  </conditionalFormatting>
  <conditionalFormatting sqref="B357">
    <cfRule type="containsText" dxfId="3447" priority="4696" operator="containsText" text="$H$7">
      <formula>NOT(ISERROR(SEARCH($H$7,B357)))</formula>
      <formula>$H$7</formula>
    </cfRule>
    <cfRule type="containsText" dxfId="3446" priority="4695" operator="containsText" text="$H$8">
      <formula>NOT(ISERROR(SEARCH($H$8,B357)))</formula>
      <formula>$H$8</formula>
    </cfRule>
    <cfRule type="containsText" dxfId="3445" priority="4694" operator="containsText" text="$H$8">
      <formula>NOT(ISERROR(SEARCH($H$8,B357)))</formula>
      <formula>$H$8</formula>
    </cfRule>
    <cfRule type="containsText" dxfId="3444" priority="4693" operator="containsText" text="$H$9">
      <formula>NOT(ISERROR(SEARCH($H$9,B357)))</formula>
      <formula>$H$9</formula>
    </cfRule>
    <cfRule type="containsText" dxfId="3443" priority="4692" operator="containsText" text="$H$10">
      <formula>NOT(ISERROR(SEARCH($H$10,B357)))</formula>
      <formula>$H$10</formula>
    </cfRule>
    <cfRule type="containsText" dxfId="3442" priority="4691" operator="containsText" text="$H$11">
      <formula>NOT(ISERROR(SEARCH($H$11,B357)))</formula>
      <formula>$H$11</formula>
    </cfRule>
    <cfRule type="containsText" dxfId="3441" priority="4690" operator="containsText" text="$H$12">
      <formula>NOT(ISERROR(SEARCH($H$12,B357)))</formula>
      <formula>$H$12</formula>
    </cfRule>
    <cfRule type="containsText" dxfId="3440" priority="4689" operator="containsText" text="$H$13">
      <formula>NOT(ISERROR(SEARCH($H$13,B357)))</formula>
      <formula>$H$13</formula>
    </cfRule>
  </conditionalFormatting>
  <conditionalFormatting sqref="B359">
    <cfRule type="containsText" dxfId="3439" priority="4688" operator="containsText" text="$H$7">
      <formula>NOT(ISERROR(SEARCH($H$7,B359)))</formula>
      <formula>$H$7</formula>
    </cfRule>
    <cfRule type="containsText" dxfId="3438" priority="4687" operator="containsText" text="$H$8">
      <formula>NOT(ISERROR(SEARCH($H$8,B359)))</formula>
      <formula>$H$8</formula>
    </cfRule>
    <cfRule type="containsText" dxfId="3437" priority="4686" operator="containsText" text="$H$8">
      <formula>NOT(ISERROR(SEARCH($H$8,B359)))</formula>
      <formula>$H$8</formula>
    </cfRule>
    <cfRule type="containsText" dxfId="3436" priority="4685" operator="containsText" text="$H$9">
      <formula>NOT(ISERROR(SEARCH($H$9,B359)))</formula>
      <formula>$H$9</formula>
    </cfRule>
    <cfRule type="containsText" dxfId="3435" priority="4684" operator="containsText" text="$H$10">
      <formula>NOT(ISERROR(SEARCH($H$10,B359)))</formula>
      <formula>$H$10</formula>
    </cfRule>
    <cfRule type="containsText" dxfId="3434" priority="4683" operator="containsText" text="$H$11">
      <formula>NOT(ISERROR(SEARCH($H$11,B359)))</formula>
      <formula>$H$11</formula>
    </cfRule>
    <cfRule type="containsText" dxfId="3433" priority="4682" operator="containsText" text="$H$12">
      <formula>NOT(ISERROR(SEARCH($H$12,B359)))</formula>
      <formula>$H$12</formula>
    </cfRule>
    <cfRule type="containsText" dxfId="3432" priority="4681" operator="containsText" text="$H$13">
      <formula>NOT(ISERROR(SEARCH($H$13,B359)))</formula>
      <formula>$H$13</formula>
    </cfRule>
  </conditionalFormatting>
  <conditionalFormatting sqref="B359">
    <cfRule type="containsText" dxfId="3431" priority="4680" operator="containsText" text="$H$7">
      <formula>NOT(ISERROR(SEARCH($H$7,B359)))</formula>
      <formula>$H$7</formula>
    </cfRule>
    <cfRule type="containsText" dxfId="3430" priority="4679" operator="containsText" text="$H$8">
      <formula>NOT(ISERROR(SEARCH($H$8,B359)))</formula>
      <formula>$H$8</formula>
    </cfRule>
    <cfRule type="containsText" dxfId="3429" priority="4678" operator="containsText" text="$H$8">
      <formula>NOT(ISERROR(SEARCH($H$8,B359)))</formula>
      <formula>$H$8</formula>
    </cfRule>
    <cfRule type="containsText" dxfId="3428" priority="4677" operator="containsText" text="$H$9">
      <formula>NOT(ISERROR(SEARCH($H$9,B359)))</formula>
      <formula>$H$9</formula>
    </cfRule>
    <cfRule type="containsText" dxfId="3427" priority="4676" operator="containsText" text="$H$10">
      <formula>NOT(ISERROR(SEARCH($H$10,B359)))</formula>
      <formula>$H$10</formula>
    </cfRule>
    <cfRule type="containsText" dxfId="3426" priority="4675" operator="containsText" text="$H$11">
      <formula>NOT(ISERROR(SEARCH($H$11,B359)))</formula>
      <formula>$H$11</formula>
    </cfRule>
    <cfRule type="containsText" dxfId="3425" priority="4674" operator="containsText" text="$H$12">
      <formula>NOT(ISERROR(SEARCH($H$12,B359)))</formula>
      <formula>$H$12</formula>
    </cfRule>
    <cfRule type="containsText" dxfId="3424" priority="4673" operator="containsText" text="$H$13">
      <formula>NOT(ISERROR(SEARCH($H$13,B359)))</formula>
      <formula>$H$13</formula>
    </cfRule>
  </conditionalFormatting>
  <conditionalFormatting sqref="B361">
    <cfRule type="containsText" dxfId="3423" priority="4672" operator="containsText" text="$H$7">
      <formula>NOT(ISERROR(SEARCH($H$7,B361)))</formula>
      <formula>$H$7</formula>
    </cfRule>
    <cfRule type="containsText" dxfId="3422" priority="4671" operator="containsText" text="$H$8">
      <formula>NOT(ISERROR(SEARCH($H$8,B361)))</formula>
      <formula>$H$8</formula>
    </cfRule>
    <cfRule type="containsText" dxfId="3421" priority="4670" operator="containsText" text="$H$8">
      <formula>NOT(ISERROR(SEARCH($H$8,B361)))</formula>
      <formula>$H$8</formula>
    </cfRule>
    <cfRule type="containsText" dxfId="3420" priority="4669" operator="containsText" text="$H$9">
      <formula>NOT(ISERROR(SEARCH($H$9,B361)))</formula>
      <formula>$H$9</formula>
    </cfRule>
    <cfRule type="containsText" dxfId="3419" priority="4668" operator="containsText" text="$H$10">
      <formula>NOT(ISERROR(SEARCH($H$10,B361)))</formula>
      <formula>$H$10</formula>
    </cfRule>
    <cfRule type="containsText" dxfId="3418" priority="4667" operator="containsText" text="$H$11">
      <formula>NOT(ISERROR(SEARCH($H$11,B361)))</formula>
      <formula>$H$11</formula>
    </cfRule>
    <cfRule type="containsText" dxfId="3417" priority="4666" operator="containsText" text="$H$12">
      <formula>NOT(ISERROR(SEARCH($H$12,B361)))</formula>
      <formula>$H$12</formula>
    </cfRule>
    <cfRule type="containsText" dxfId="3416" priority="4665" operator="containsText" text="$H$13">
      <formula>NOT(ISERROR(SEARCH($H$13,B361)))</formula>
      <formula>$H$13</formula>
    </cfRule>
  </conditionalFormatting>
  <conditionalFormatting sqref="B361">
    <cfRule type="containsText" dxfId="3415" priority="4664" operator="containsText" text="$H$7">
      <formula>NOT(ISERROR(SEARCH($H$7,B361)))</formula>
      <formula>$H$7</formula>
    </cfRule>
    <cfRule type="containsText" dxfId="3414" priority="4663" operator="containsText" text="$H$8">
      <formula>NOT(ISERROR(SEARCH($H$8,B361)))</formula>
      <formula>$H$8</formula>
    </cfRule>
    <cfRule type="containsText" dxfId="3413" priority="4662" operator="containsText" text="$H$8">
      <formula>NOT(ISERROR(SEARCH($H$8,B361)))</formula>
      <formula>$H$8</formula>
    </cfRule>
    <cfRule type="containsText" dxfId="3412" priority="4661" operator="containsText" text="$H$9">
      <formula>NOT(ISERROR(SEARCH($H$9,B361)))</formula>
      <formula>$H$9</formula>
    </cfRule>
    <cfRule type="containsText" dxfId="3411" priority="4660" operator="containsText" text="$H$10">
      <formula>NOT(ISERROR(SEARCH($H$10,B361)))</formula>
      <formula>$H$10</formula>
    </cfRule>
    <cfRule type="containsText" dxfId="3410" priority="4659" operator="containsText" text="$H$11">
      <formula>NOT(ISERROR(SEARCH($H$11,B361)))</formula>
      <formula>$H$11</formula>
    </cfRule>
    <cfRule type="containsText" dxfId="3409" priority="4658" operator="containsText" text="$H$12">
      <formula>NOT(ISERROR(SEARCH($H$12,B361)))</formula>
      <formula>$H$12</formula>
    </cfRule>
    <cfRule type="containsText" dxfId="3408" priority="4657" operator="containsText" text="$H$13">
      <formula>NOT(ISERROR(SEARCH($H$13,B361)))</formula>
      <formula>$H$13</formula>
    </cfRule>
  </conditionalFormatting>
  <conditionalFormatting sqref="B363">
    <cfRule type="containsText" dxfId="3407" priority="4656" operator="containsText" text="$H$7">
      <formula>NOT(ISERROR(SEARCH($H$7,B363)))</formula>
      <formula>$H$7</formula>
    </cfRule>
    <cfRule type="containsText" dxfId="3406" priority="4655" operator="containsText" text="$H$8">
      <formula>NOT(ISERROR(SEARCH($H$8,B363)))</formula>
      <formula>$H$8</formula>
    </cfRule>
    <cfRule type="containsText" dxfId="3405" priority="4654" operator="containsText" text="$H$8">
      <formula>NOT(ISERROR(SEARCH($H$8,B363)))</formula>
      <formula>$H$8</formula>
    </cfRule>
    <cfRule type="containsText" dxfId="3404" priority="4653" operator="containsText" text="$H$9">
      <formula>NOT(ISERROR(SEARCH($H$9,B363)))</formula>
      <formula>$H$9</formula>
    </cfRule>
    <cfRule type="containsText" dxfId="3403" priority="4652" operator="containsText" text="$H$10">
      <formula>NOT(ISERROR(SEARCH($H$10,B363)))</formula>
      <formula>$H$10</formula>
    </cfRule>
    <cfRule type="containsText" dxfId="3402" priority="4651" operator="containsText" text="$H$11">
      <formula>NOT(ISERROR(SEARCH($H$11,B363)))</formula>
      <formula>$H$11</formula>
    </cfRule>
    <cfRule type="containsText" dxfId="3401" priority="4650" operator="containsText" text="$H$12">
      <formula>NOT(ISERROR(SEARCH($H$12,B363)))</formula>
      <formula>$H$12</formula>
    </cfRule>
    <cfRule type="containsText" dxfId="3400" priority="4649" operator="containsText" text="$H$13">
      <formula>NOT(ISERROR(SEARCH($H$13,B363)))</formula>
      <formula>$H$13</formula>
    </cfRule>
  </conditionalFormatting>
  <conditionalFormatting sqref="B363">
    <cfRule type="containsText" dxfId="3399" priority="4648" operator="containsText" text="$H$7">
      <formula>NOT(ISERROR(SEARCH($H$7,B363)))</formula>
      <formula>$H$7</formula>
    </cfRule>
    <cfRule type="containsText" dxfId="3398" priority="4647" operator="containsText" text="$H$8">
      <formula>NOT(ISERROR(SEARCH($H$8,B363)))</formula>
      <formula>$H$8</formula>
    </cfRule>
    <cfRule type="containsText" dxfId="3397" priority="4646" operator="containsText" text="$H$8">
      <formula>NOT(ISERROR(SEARCH($H$8,B363)))</formula>
      <formula>$H$8</formula>
    </cfRule>
    <cfRule type="containsText" dxfId="3396" priority="4645" operator="containsText" text="$H$9">
      <formula>NOT(ISERROR(SEARCH($H$9,B363)))</formula>
      <formula>$H$9</formula>
    </cfRule>
    <cfRule type="containsText" dxfId="3395" priority="4644" operator="containsText" text="$H$10">
      <formula>NOT(ISERROR(SEARCH($H$10,B363)))</formula>
      <formula>$H$10</formula>
    </cfRule>
    <cfRule type="containsText" dxfId="3394" priority="4643" operator="containsText" text="$H$11">
      <formula>NOT(ISERROR(SEARCH($H$11,B363)))</formula>
      <formula>$H$11</formula>
    </cfRule>
    <cfRule type="containsText" dxfId="3393" priority="4642" operator="containsText" text="$H$12">
      <formula>NOT(ISERROR(SEARCH($H$12,B363)))</formula>
      <formula>$H$12</formula>
    </cfRule>
    <cfRule type="containsText" dxfId="3392" priority="4641" operator="containsText" text="$H$13">
      <formula>NOT(ISERROR(SEARCH($H$13,B363)))</formula>
      <formula>$H$13</formula>
    </cfRule>
  </conditionalFormatting>
  <conditionalFormatting sqref="D348 D354 D352 D350">
    <cfRule type="containsText" dxfId="3391" priority="4640" operator="containsText" text="$H$7">
      <formula>NOT(ISERROR(SEARCH($H$7,D348)))</formula>
      <formula>$H$7</formula>
    </cfRule>
    <cfRule type="containsText" dxfId="3390" priority="4639" operator="containsText" text="$H$8">
      <formula>NOT(ISERROR(SEARCH($H$8,D348)))</formula>
      <formula>$H$8</formula>
    </cfRule>
    <cfRule type="containsText" dxfId="3389" priority="4638" operator="containsText" text="$H$8">
      <formula>NOT(ISERROR(SEARCH($H$8,D348)))</formula>
      <formula>$H$8</formula>
    </cfRule>
    <cfRule type="containsText" dxfId="3388" priority="4637" operator="containsText" text="$H$9">
      <formula>NOT(ISERROR(SEARCH($H$9,D348)))</formula>
      <formula>$H$9</formula>
    </cfRule>
    <cfRule type="containsText" dxfId="3387" priority="4636" operator="containsText" text="$H$10">
      <formula>NOT(ISERROR(SEARCH($H$10,D348)))</formula>
      <formula>$H$10</formula>
    </cfRule>
    <cfRule type="containsText" dxfId="3386" priority="4635" operator="containsText" text="$H$11">
      <formula>NOT(ISERROR(SEARCH($H$11,D348)))</formula>
      <formula>$H$11</formula>
    </cfRule>
    <cfRule type="containsText" dxfId="3385" priority="4634" operator="containsText" text="$H$12">
      <formula>NOT(ISERROR(SEARCH($H$12,D348)))</formula>
      <formula>$H$12</formula>
    </cfRule>
    <cfRule type="containsText" dxfId="3384" priority="4633" operator="containsText" text="$H$13">
      <formula>NOT(ISERROR(SEARCH($H$13,D348)))</formula>
      <formula>$H$13</formula>
    </cfRule>
  </conditionalFormatting>
  <conditionalFormatting sqref="D348 D354 D352 D350">
    <cfRule type="containsText" dxfId="3383" priority="4632" operator="containsText" text="$H$7">
      <formula>NOT(ISERROR(SEARCH($H$7,D348)))</formula>
      <formula>$H$7</formula>
    </cfRule>
    <cfRule type="containsText" dxfId="3382" priority="4631" operator="containsText" text="$H$8">
      <formula>NOT(ISERROR(SEARCH($H$8,D348)))</formula>
      <formula>$H$8</formula>
    </cfRule>
    <cfRule type="containsText" dxfId="3381" priority="4630" operator="containsText" text="$H$8">
      <formula>NOT(ISERROR(SEARCH($H$8,D348)))</formula>
      <formula>$H$8</formula>
    </cfRule>
    <cfRule type="containsText" dxfId="3380" priority="4629" operator="containsText" text="$H$9">
      <formula>NOT(ISERROR(SEARCH($H$9,D348)))</formula>
      <formula>$H$9</formula>
    </cfRule>
    <cfRule type="containsText" dxfId="3379" priority="4628" operator="containsText" text="$H$10">
      <formula>NOT(ISERROR(SEARCH($H$10,D348)))</formula>
      <formula>$H$10</formula>
    </cfRule>
    <cfRule type="containsText" dxfId="3378" priority="4627" operator="containsText" text="$H$11">
      <formula>NOT(ISERROR(SEARCH($H$11,D348)))</formula>
      <formula>$H$11</formula>
    </cfRule>
    <cfRule type="containsText" dxfId="3377" priority="4626" operator="containsText" text="$H$12">
      <formula>NOT(ISERROR(SEARCH($H$12,D348)))</formula>
      <formula>$H$12</formula>
    </cfRule>
    <cfRule type="containsText" dxfId="3376" priority="4625" operator="containsText" text="$H$13">
      <formula>NOT(ISERROR(SEARCH($H$13,D348)))</formula>
      <formula>$H$13</formula>
    </cfRule>
  </conditionalFormatting>
  <conditionalFormatting sqref="D349">
    <cfRule type="containsText" dxfId="3375" priority="4624" operator="containsText" text="$H$7">
      <formula>NOT(ISERROR(SEARCH($H$7,D349)))</formula>
      <formula>$H$7</formula>
    </cfRule>
    <cfRule type="containsText" dxfId="3374" priority="4623" operator="containsText" text="$H$8">
      <formula>NOT(ISERROR(SEARCH($H$8,D349)))</formula>
      <formula>$H$8</formula>
    </cfRule>
    <cfRule type="containsText" dxfId="3373" priority="4622" operator="containsText" text="$H$8">
      <formula>NOT(ISERROR(SEARCH($H$8,D349)))</formula>
      <formula>$H$8</formula>
    </cfRule>
    <cfRule type="containsText" dxfId="3372" priority="4621" operator="containsText" text="$H$9">
      <formula>NOT(ISERROR(SEARCH($H$9,D349)))</formula>
      <formula>$H$9</formula>
    </cfRule>
    <cfRule type="containsText" dxfId="3371" priority="4620" operator="containsText" text="$H$10">
      <formula>NOT(ISERROR(SEARCH($H$10,D349)))</formula>
      <formula>$H$10</formula>
    </cfRule>
    <cfRule type="containsText" dxfId="3370" priority="4619" operator="containsText" text="$H$11">
      <formula>NOT(ISERROR(SEARCH($H$11,D349)))</formula>
      <formula>$H$11</formula>
    </cfRule>
    <cfRule type="containsText" dxfId="3369" priority="4618" operator="containsText" text="$H$12">
      <formula>NOT(ISERROR(SEARCH($H$12,D349)))</formula>
      <formula>$H$12</formula>
    </cfRule>
    <cfRule type="containsText" dxfId="3368" priority="4617" operator="containsText" text="$H$13">
      <formula>NOT(ISERROR(SEARCH($H$13,D349)))</formula>
      <formula>$H$13</formula>
    </cfRule>
  </conditionalFormatting>
  <conditionalFormatting sqref="D349">
    <cfRule type="containsText" dxfId="3367" priority="4616" operator="containsText" text="$H$7">
      <formula>NOT(ISERROR(SEARCH($H$7,D349)))</formula>
      <formula>$H$7</formula>
    </cfRule>
    <cfRule type="containsText" dxfId="3366" priority="4615" operator="containsText" text="$H$8">
      <formula>NOT(ISERROR(SEARCH($H$8,D349)))</formula>
      <formula>$H$8</formula>
    </cfRule>
    <cfRule type="containsText" dxfId="3365" priority="4614" operator="containsText" text="$H$8">
      <formula>NOT(ISERROR(SEARCH($H$8,D349)))</formula>
      <formula>$H$8</formula>
    </cfRule>
    <cfRule type="containsText" dxfId="3364" priority="4613" operator="containsText" text="$H$9">
      <formula>NOT(ISERROR(SEARCH($H$9,D349)))</formula>
      <formula>$H$9</formula>
    </cfRule>
    <cfRule type="containsText" dxfId="3363" priority="4612" operator="containsText" text="$H$10">
      <formula>NOT(ISERROR(SEARCH($H$10,D349)))</formula>
      <formula>$H$10</formula>
    </cfRule>
    <cfRule type="containsText" dxfId="3362" priority="4611" operator="containsText" text="$H$11">
      <formula>NOT(ISERROR(SEARCH($H$11,D349)))</formula>
      <formula>$H$11</formula>
    </cfRule>
    <cfRule type="containsText" dxfId="3361" priority="4610" operator="containsText" text="$H$12">
      <formula>NOT(ISERROR(SEARCH($H$12,D349)))</formula>
      <formula>$H$12</formula>
    </cfRule>
    <cfRule type="containsText" dxfId="3360" priority="4609" operator="containsText" text="$H$13">
      <formula>NOT(ISERROR(SEARCH($H$13,D349)))</formula>
      <formula>$H$13</formula>
    </cfRule>
  </conditionalFormatting>
  <conditionalFormatting sqref="D351">
    <cfRule type="containsText" dxfId="3359" priority="4608" operator="containsText" text="$H$7">
      <formula>NOT(ISERROR(SEARCH($H$7,D351)))</formula>
      <formula>$H$7</formula>
    </cfRule>
    <cfRule type="containsText" dxfId="3358" priority="4607" operator="containsText" text="$H$8">
      <formula>NOT(ISERROR(SEARCH($H$8,D351)))</formula>
      <formula>$H$8</formula>
    </cfRule>
    <cfRule type="containsText" dxfId="3357" priority="4606" operator="containsText" text="$H$8">
      <formula>NOT(ISERROR(SEARCH($H$8,D351)))</formula>
      <formula>$H$8</formula>
    </cfRule>
    <cfRule type="containsText" dxfId="3356" priority="4605" operator="containsText" text="$H$9">
      <formula>NOT(ISERROR(SEARCH($H$9,D351)))</formula>
      <formula>$H$9</formula>
    </cfRule>
    <cfRule type="containsText" dxfId="3355" priority="4604" operator="containsText" text="$H$10">
      <formula>NOT(ISERROR(SEARCH($H$10,D351)))</formula>
      <formula>$H$10</formula>
    </cfRule>
    <cfRule type="containsText" dxfId="3354" priority="4603" operator="containsText" text="$H$11">
      <formula>NOT(ISERROR(SEARCH($H$11,D351)))</formula>
      <formula>$H$11</formula>
    </cfRule>
    <cfRule type="containsText" dxfId="3353" priority="4602" operator="containsText" text="$H$12">
      <formula>NOT(ISERROR(SEARCH($H$12,D351)))</formula>
      <formula>$H$12</formula>
    </cfRule>
    <cfRule type="containsText" dxfId="3352" priority="4601" operator="containsText" text="$H$13">
      <formula>NOT(ISERROR(SEARCH($H$13,D351)))</formula>
      <formula>$H$13</formula>
    </cfRule>
  </conditionalFormatting>
  <conditionalFormatting sqref="D351">
    <cfRule type="containsText" dxfId="3351" priority="4600" operator="containsText" text="$H$7">
      <formula>NOT(ISERROR(SEARCH($H$7,D351)))</formula>
      <formula>$H$7</formula>
    </cfRule>
    <cfRule type="containsText" dxfId="3350" priority="4599" operator="containsText" text="$H$8">
      <formula>NOT(ISERROR(SEARCH($H$8,D351)))</formula>
      <formula>$H$8</formula>
    </cfRule>
    <cfRule type="containsText" dxfId="3349" priority="4598" operator="containsText" text="$H$8">
      <formula>NOT(ISERROR(SEARCH($H$8,D351)))</formula>
      <formula>$H$8</formula>
    </cfRule>
    <cfRule type="containsText" dxfId="3348" priority="4597" operator="containsText" text="$H$9">
      <formula>NOT(ISERROR(SEARCH($H$9,D351)))</formula>
      <formula>$H$9</formula>
    </cfRule>
    <cfRule type="containsText" dxfId="3347" priority="4596" operator="containsText" text="$H$10">
      <formula>NOT(ISERROR(SEARCH($H$10,D351)))</formula>
      <formula>$H$10</formula>
    </cfRule>
    <cfRule type="containsText" dxfId="3346" priority="4595" operator="containsText" text="$H$11">
      <formula>NOT(ISERROR(SEARCH($H$11,D351)))</formula>
      <formula>$H$11</formula>
    </cfRule>
    <cfRule type="containsText" dxfId="3345" priority="4594" operator="containsText" text="$H$12">
      <formula>NOT(ISERROR(SEARCH($H$12,D351)))</formula>
      <formula>$H$12</formula>
    </cfRule>
    <cfRule type="containsText" dxfId="3344" priority="4593" operator="containsText" text="$H$13">
      <formula>NOT(ISERROR(SEARCH($H$13,D351)))</formula>
      <formula>$H$13</formula>
    </cfRule>
  </conditionalFormatting>
  <conditionalFormatting sqref="D353">
    <cfRule type="containsText" dxfId="3343" priority="4592" operator="containsText" text="$H$7">
      <formula>NOT(ISERROR(SEARCH($H$7,D353)))</formula>
      <formula>$H$7</formula>
    </cfRule>
    <cfRule type="containsText" dxfId="3342" priority="4591" operator="containsText" text="$H$8">
      <formula>NOT(ISERROR(SEARCH($H$8,D353)))</formula>
      <formula>$H$8</formula>
    </cfRule>
    <cfRule type="containsText" dxfId="3341" priority="4590" operator="containsText" text="$H$8">
      <formula>NOT(ISERROR(SEARCH($H$8,D353)))</formula>
      <formula>$H$8</formula>
    </cfRule>
    <cfRule type="containsText" dxfId="3340" priority="4589" operator="containsText" text="$H$9">
      <formula>NOT(ISERROR(SEARCH($H$9,D353)))</formula>
      <formula>$H$9</formula>
    </cfRule>
    <cfRule type="containsText" dxfId="3339" priority="4588" operator="containsText" text="$H$10">
      <formula>NOT(ISERROR(SEARCH($H$10,D353)))</formula>
      <formula>$H$10</formula>
    </cfRule>
    <cfRule type="containsText" dxfId="3338" priority="4587" operator="containsText" text="$H$11">
      <formula>NOT(ISERROR(SEARCH($H$11,D353)))</formula>
      <formula>$H$11</formula>
    </cfRule>
    <cfRule type="containsText" dxfId="3337" priority="4586" operator="containsText" text="$H$12">
      <formula>NOT(ISERROR(SEARCH($H$12,D353)))</formula>
      <formula>$H$12</formula>
    </cfRule>
    <cfRule type="containsText" dxfId="3336" priority="4585" operator="containsText" text="$H$13">
      <formula>NOT(ISERROR(SEARCH($H$13,D353)))</formula>
      <formula>$H$13</formula>
    </cfRule>
  </conditionalFormatting>
  <conditionalFormatting sqref="D353">
    <cfRule type="containsText" dxfId="3335" priority="4584" operator="containsText" text="$H$7">
      <formula>NOT(ISERROR(SEARCH($H$7,D353)))</formula>
      <formula>$H$7</formula>
    </cfRule>
    <cfRule type="containsText" dxfId="3334" priority="4583" operator="containsText" text="$H$8">
      <formula>NOT(ISERROR(SEARCH($H$8,D353)))</formula>
      <formula>$H$8</formula>
    </cfRule>
    <cfRule type="containsText" dxfId="3333" priority="4582" operator="containsText" text="$H$8">
      <formula>NOT(ISERROR(SEARCH($H$8,D353)))</formula>
      <formula>$H$8</formula>
    </cfRule>
    <cfRule type="containsText" dxfId="3332" priority="4581" operator="containsText" text="$H$9">
      <formula>NOT(ISERROR(SEARCH($H$9,D353)))</formula>
      <formula>$H$9</formula>
    </cfRule>
    <cfRule type="containsText" dxfId="3331" priority="4580" operator="containsText" text="$H$10">
      <formula>NOT(ISERROR(SEARCH($H$10,D353)))</formula>
      <formula>$H$10</formula>
    </cfRule>
    <cfRule type="containsText" dxfId="3330" priority="4579" operator="containsText" text="$H$11">
      <formula>NOT(ISERROR(SEARCH($H$11,D353)))</formula>
      <formula>$H$11</formula>
    </cfRule>
    <cfRule type="containsText" dxfId="3329" priority="4578" operator="containsText" text="$H$12">
      <formula>NOT(ISERROR(SEARCH($H$12,D353)))</formula>
      <formula>$H$12</formula>
    </cfRule>
    <cfRule type="containsText" dxfId="3328" priority="4577" operator="containsText" text="$H$13">
      <formula>NOT(ISERROR(SEARCH($H$13,D353)))</formula>
      <formula>$H$13</formula>
    </cfRule>
  </conditionalFormatting>
  <conditionalFormatting sqref="D355">
    <cfRule type="containsText" dxfId="3327" priority="4576" operator="containsText" text="$H$7">
      <formula>NOT(ISERROR(SEARCH($H$7,D355)))</formula>
      <formula>$H$7</formula>
    </cfRule>
    <cfRule type="containsText" dxfId="3326" priority="4575" operator="containsText" text="$H$8">
      <formula>NOT(ISERROR(SEARCH($H$8,D355)))</formula>
      <formula>$H$8</formula>
    </cfRule>
    <cfRule type="containsText" dxfId="3325" priority="4574" operator="containsText" text="$H$8">
      <formula>NOT(ISERROR(SEARCH($H$8,D355)))</formula>
      <formula>$H$8</formula>
    </cfRule>
    <cfRule type="containsText" dxfId="3324" priority="4573" operator="containsText" text="$H$9">
      <formula>NOT(ISERROR(SEARCH($H$9,D355)))</formula>
      <formula>$H$9</formula>
    </cfRule>
    <cfRule type="containsText" dxfId="3323" priority="4572" operator="containsText" text="$H$10">
      <formula>NOT(ISERROR(SEARCH($H$10,D355)))</formula>
      <formula>$H$10</formula>
    </cfRule>
    <cfRule type="containsText" dxfId="3322" priority="4571" operator="containsText" text="$H$11">
      <formula>NOT(ISERROR(SEARCH($H$11,D355)))</formula>
      <formula>$H$11</formula>
    </cfRule>
    <cfRule type="containsText" dxfId="3321" priority="4570" operator="containsText" text="$H$12">
      <formula>NOT(ISERROR(SEARCH($H$12,D355)))</formula>
      <formula>$H$12</formula>
    </cfRule>
    <cfRule type="containsText" dxfId="3320" priority="4569" operator="containsText" text="$H$13">
      <formula>NOT(ISERROR(SEARCH($H$13,D355)))</formula>
      <formula>$H$13</formula>
    </cfRule>
  </conditionalFormatting>
  <conditionalFormatting sqref="D355">
    <cfRule type="containsText" dxfId="3319" priority="4568" operator="containsText" text="$H$7">
      <formula>NOT(ISERROR(SEARCH($H$7,D355)))</formula>
      <formula>$H$7</formula>
    </cfRule>
    <cfRule type="containsText" dxfId="3318" priority="4567" operator="containsText" text="$H$8">
      <formula>NOT(ISERROR(SEARCH($H$8,D355)))</formula>
      <formula>$H$8</formula>
    </cfRule>
    <cfRule type="containsText" dxfId="3317" priority="4566" operator="containsText" text="$H$8">
      <formula>NOT(ISERROR(SEARCH($H$8,D355)))</formula>
      <formula>$H$8</formula>
    </cfRule>
    <cfRule type="containsText" dxfId="3316" priority="4565" operator="containsText" text="$H$9">
      <formula>NOT(ISERROR(SEARCH($H$9,D355)))</formula>
      <formula>$H$9</formula>
    </cfRule>
    <cfRule type="containsText" dxfId="3315" priority="4564" operator="containsText" text="$H$10">
      <formula>NOT(ISERROR(SEARCH($H$10,D355)))</formula>
      <formula>$H$10</formula>
    </cfRule>
    <cfRule type="containsText" dxfId="3314" priority="4563" operator="containsText" text="$H$11">
      <formula>NOT(ISERROR(SEARCH($H$11,D355)))</formula>
      <formula>$H$11</formula>
    </cfRule>
    <cfRule type="containsText" dxfId="3313" priority="4562" operator="containsText" text="$H$12">
      <formula>NOT(ISERROR(SEARCH($H$12,D355)))</formula>
      <formula>$H$12</formula>
    </cfRule>
    <cfRule type="containsText" dxfId="3312" priority="4561" operator="containsText" text="$H$13">
      <formula>NOT(ISERROR(SEARCH($H$13,D355)))</formula>
      <formula>$H$13</formula>
    </cfRule>
  </conditionalFormatting>
  <conditionalFormatting sqref="F356 F362 F360 F358">
    <cfRule type="containsText" dxfId="3311" priority="4560" operator="containsText" text="$H$7">
      <formula>NOT(ISERROR(SEARCH($H$7,F356)))</formula>
      <formula>$H$7</formula>
    </cfRule>
    <cfRule type="containsText" dxfId="3310" priority="4559" operator="containsText" text="$H$8">
      <formula>NOT(ISERROR(SEARCH($H$8,F356)))</formula>
      <formula>$H$8</formula>
    </cfRule>
    <cfRule type="containsText" dxfId="3309" priority="4558" operator="containsText" text="$H$8">
      <formula>NOT(ISERROR(SEARCH($H$8,F356)))</formula>
      <formula>$H$8</formula>
    </cfRule>
    <cfRule type="containsText" dxfId="3308" priority="4557" operator="containsText" text="$H$9">
      <formula>NOT(ISERROR(SEARCH($H$9,F356)))</formula>
      <formula>$H$9</formula>
    </cfRule>
    <cfRule type="containsText" dxfId="3307" priority="4556" operator="containsText" text="$H$10">
      <formula>NOT(ISERROR(SEARCH($H$10,F356)))</formula>
      <formula>$H$10</formula>
    </cfRule>
    <cfRule type="containsText" dxfId="3306" priority="4555" operator="containsText" text="$H$11">
      <formula>NOT(ISERROR(SEARCH($H$11,F356)))</formula>
      <formula>$H$11</formula>
    </cfRule>
    <cfRule type="containsText" dxfId="3305" priority="4554" operator="containsText" text="$H$12">
      <formula>NOT(ISERROR(SEARCH($H$12,F356)))</formula>
      <formula>$H$12</formula>
    </cfRule>
    <cfRule type="containsText" dxfId="3304" priority="4553" operator="containsText" text="$H$13">
      <formula>NOT(ISERROR(SEARCH($H$13,F356)))</formula>
      <formula>$H$13</formula>
    </cfRule>
  </conditionalFormatting>
  <conditionalFormatting sqref="F356 F362 F360 F358">
    <cfRule type="containsText" dxfId="3303" priority="4552" operator="containsText" text="$H$7">
      <formula>NOT(ISERROR(SEARCH($H$7,F356)))</formula>
      <formula>$H$7</formula>
    </cfRule>
    <cfRule type="containsText" dxfId="3302" priority="4551" operator="containsText" text="$H$8">
      <formula>NOT(ISERROR(SEARCH($H$8,F356)))</formula>
      <formula>$H$8</formula>
    </cfRule>
    <cfRule type="containsText" dxfId="3301" priority="4550" operator="containsText" text="$H$8">
      <formula>NOT(ISERROR(SEARCH($H$8,F356)))</formula>
      <formula>$H$8</formula>
    </cfRule>
    <cfRule type="containsText" dxfId="3300" priority="4549" operator="containsText" text="$H$9">
      <formula>NOT(ISERROR(SEARCH($H$9,F356)))</formula>
      <formula>$H$9</formula>
    </cfRule>
    <cfRule type="containsText" dxfId="3299" priority="4548" operator="containsText" text="$H$10">
      <formula>NOT(ISERROR(SEARCH($H$10,F356)))</formula>
      <formula>$H$10</formula>
    </cfRule>
    <cfRule type="containsText" dxfId="3298" priority="4547" operator="containsText" text="$H$11">
      <formula>NOT(ISERROR(SEARCH($H$11,F356)))</formula>
      <formula>$H$11</formula>
    </cfRule>
    <cfRule type="containsText" dxfId="3297" priority="4546" operator="containsText" text="$H$12">
      <formula>NOT(ISERROR(SEARCH($H$12,F356)))</formula>
      <formula>$H$12</formula>
    </cfRule>
    <cfRule type="containsText" dxfId="3296" priority="4545" operator="containsText" text="$H$13">
      <formula>NOT(ISERROR(SEARCH($H$13,F356)))</formula>
      <formula>$H$13</formula>
    </cfRule>
  </conditionalFormatting>
  <conditionalFormatting sqref="F357">
    <cfRule type="containsText" dxfId="3295" priority="4544" operator="containsText" text="$H$7">
      <formula>NOT(ISERROR(SEARCH($H$7,F357)))</formula>
      <formula>$H$7</formula>
    </cfRule>
    <cfRule type="containsText" dxfId="3294" priority="4543" operator="containsText" text="$H$8">
      <formula>NOT(ISERROR(SEARCH($H$8,F357)))</formula>
      <formula>$H$8</formula>
    </cfRule>
    <cfRule type="containsText" dxfId="3293" priority="4542" operator="containsText" text="$H$8">
      <formula>NOT(ISERROR(SEARCH($H$8,F357)))</formula>
      <formula>$H$8</formula>
    </cfRule>
    <cfRule type="containsText" dxfId="3292" priority="4541" operator="containsText" text="$H$9">
      <formula>NOT(ISERROR(SEARCH($H$9,F357)))</formula>
      <formula>$H$9</formula>
    </cfRule>
    <cfRule type="containsText" dxfId="3291" priority="4540" operator="containsText" text="$H$10">
      <formula>NOT(ISERROR(SEARCH($H$10,F357)))</formula>
      <formula>$H$10</formula>
    </cfRule>
    <cfRule type="containsText" dxfId="3290" priority="4539" operator="containsText" text="$H$11">
      <formula>NOT(ISERROR(SEARCH($H$11,F357)))</formula>
      <formula>$H$11</formula>
    </cfRule>
    <cfRule type="containsText" dxfId="3289" priority="4538" operator="containsText" text="$H$12">
      <formula>NOT(ISERROR(SEARCH($H$12,F357)))</formula>
      <formula>$H$12</formula>
    </cfRule>
    <cfRule type="containsText" dxfId="3288" priority="4537" operator="containsText" text="$H$13">
      <formula>NOT(ISERROR(SEARCH($H$13,F357)))</formula>
      <formula>$H$13</formula>
    </cfRule>
  </conditionalFormatting>
  <conditionalFormatting sqref="F357">
    <cfRule type="containsText" dxfId="3287" priority="4536" operator="containsText" text="$H$7">
      <formula>NOT(ISERROR(SEARCH($H$7,F357)))</formula>
      <formula>$H$7</formula>
    </cfRule>
    <cfRule type="containsText" dxfId="3286" priority="4535" operator="containsText" text="$H$8">
      <formula>NOT(ISERROR(SEARCH($H$8,F357)))</formula>
      <formula>$H$8</formula>
    </cfRule>
    <cfRule type="containsText" dxfId="3285" priority="4534" operator="containsText" text="$H$8">
      <formula>NOT(ISERROR(SEARCH($H$8,F357)))</formula>
      <formula>$H$8</formula>
    </cfRule>
    <cfRule type="containsText" dxfId="3284" priority="4533" operator="containsText" text="$H$9">
      <formula>NOT(ISERROR(SEARCH($H$9,F357)))</formula>
      <formula>$H$9</formula>
    </cfRule>
    <cfRule type="containsText" dxfId="3283" priority="4532" operator="containsText" text="$H$10">
      <formula>NOT(ISERROR(SEARCH($H$10,F357)))</formula>
      <formula>$H$10</formula>
    </cfRule>
    <cfRule type="containsText" dxfId="3282" priority="4531" operator="containsText" text="$H$11">
      <formula>NOT(ISERROR(SEARCH($H$11,F357)))</formula>
      <formula>$H$11</formula>
    </cfRule>
    <cfRule type="containsText" dxfId="3281" priority="4530" operator="containsText" text="$H$12">
      <formula>NOT(ISERROR(SEARCH($H$12,F357)))</formula>
      <formula>$H$12</formula>
    </cfRule>
    <cfRule type="containsText" dxfId="3280" priority="4529" operator="containsText" text="$H$13">
      <formula>NOT(ISERROR(SEARCH($H$13,F357)))</formula>
      <formula>$H$13</formula>
    </cfRule>
  </conditionalFormatting>
  <conditionalFormatting sqref="F359">
    <cfRule type="containsText" dxfId="3279" priority="4528" operator="containsText" text="$H$7">
      <formula>NOT(ISERROR(SEARCH($H$7,F359)))</formula>
      <formula>$H$7</formula>
    </cfRule>
    <cfRule type="containsText" dxfId="3278" priority="4527" operator="containsText" text="$H$8">
      <formula>NOT(ISERROR(SEARCH($H$8,F359)))</formula>
      <formula>$H$8</formula>
    </cfRule>
    <cfRule type="containsText" dxfId="3277" priority="4526" operator="containsText" text="$H$8">
      <formula>NOT(ISERROR(SEARCH($H$8,F359)))</formula>
      <formula>$H$8</formula>
    </cfRule>
    <cfRule type="containsText" dxfId="3276" priority="4525" operator="containsText" text="$H$9">
      <formula>NOT(ISERROR(SEARCH($H$9,F359)))</formula>
      <formula>$H$9</formula>
    </cfRule>
    <cfRule type="containsText" dxfId="3275" priority="4524" operator="containsText" text="$H$10">
      <formula>NOT(ISERROR(SEARCH($H$10,F359)))</formula>
      <formula>$H$10</formula>
    </cfRule>
    <cfRule type="containsText" dxfId="3274" priority="4523" operator="containsText" text="$H$11">
      <formula>NOT(ISERROR(SEARCH($H$11,F359)))</formula>
      <formula>$H$11</formula>
    </cfRule>
    <cfRule type="containsText" dxfId="3273" priority="4522" operator="containsText" text="$H$12">
      <formula>NOT(ISERROR(SEARCH($H$12,F359)))</formula>
      <formula>$H$12</formula>
    </cfRule>
    <cfRule type="containsText" dxfId="3272" priority="4521" operator="containsText" text="$H$13">
      <formula>NOT(ISERROR(SEARCH($H$13,F359)))</formula>
      <formula>$H$13</formula>
    </cfRule>
  </conditionalFormatting>
  <conditionalFormatting sqref="F359">
    <cfRule type="containsText" dxfId="3271" priority="4520" operator="containsText" text="$H$7">
      <formula>NOT(ISERROR(SEARCH($H$7,F359)))</formula>
      <formula>$H$7</formula>
    </cfRule>
    <cfRule type="containsText" dxfId="3270" priority="4519" operator="containsText" text="$H$8">
      <formula>NOT(ISERROR(SEARCH($H$8,F359)))</formula>
      <formula>$H$8</formula>
    </cfRule>
    <cfRule type="containsText" dxfId="3269" priority="4518" operator="containsText" text="$H$8">
      <formula>NOT(ISERROR(SEARCH($H$8,F359)))</formula>
      <formula>$H$8</formula>
    </cfRule>
    <cfRule type="containsText" dxfId="3268" priority="4517" operator="containsText" text="$H$9">
      <formula>NOT(ISERROR(SEARCH($H$9,F359)))</formula>
      <formula>$H$9</formula>
    </cfRule>
    <cfRule type="containsText" dxfId="3267" priority="4516" operator="containsText" text="$H$10">
      <formula>NOT(ISERROR(SEARCH($H$10,F359)))</formula>
      <formula>$H$10</formula>
    </cfRule>
    <cfRule type="containsText" dxfId="3266" priority="4515" operator="containsText" text="$H$11">
      <formula>NOT(ISERROR(SEARCH($H$11,F359)))</formula>
      <formula>$H$11</formula>
    </cfRule>
    <cfRule type="containsText" dxfId="3265" priority="4514" operator="containsText" text="$H$12">
      <formula>NOT(ISERROR(SEARCH($H$12,F359)))</formula>
      <formula>$H$12</formula>
    </cfRule>
    <cfRule type="containsText" dxfId="3264" priority="4513" operator="containsText" text="$H$13">
      <formula>NOT(ISERROR(SEARCH($H$13,F359)))</formula>
      <formula>$H$13</formula>
    </cfRule>
  </conditionalFormatting>
  <conditionalFormatting sqref="F361">
    <cfRule type="containsText" dxfId="3263" priority="4512" operator="containsText" text="$H$7">
      <formula>NOT(ISERROR(SEARCH($H$7,F361)))</formula>
      <formula>$H$7</formula>
    </cfRule>
    <cfRule type="containsText" dxfId="3262" priority="4511" operator="containsText" text="$H$8">
      <formula>NOT(ISERROR(SEARCH($H$8,F361)))</formula>
      <formula>$H$8</formula>
    </cfRule>
    <cfRule type="containsText" dxfId="3261" priority="4510" operator="containsText" text="$H$8">
      <formula>NOT(ISERROR(SEARCH($H$8,F361)))</formula>
      <formula>$H$8</formula>
    </cfRule>
    <cfRule type="containsText" dxfId="3260" priority="4509" operator="containsText" text="$H$9">
      <formula>NOT(ISERROR(SEARCH($H$9,F361)))</formula>
      <formula>$H$9</formula>
    </cfRule>
    <cfRule type="containsText" dxfId="3259" priority="4508" operator="containsText" text="$H$10">
      <formula>NOT(ISERROR(SEARCH($H$10,F361)))</formula>
      <formula>$H$10</formula>
    </cfRule>
    <cfRule type="containsText" dxfId="3258" priority="4507" operator="containsText" text="$H$11">
      <formula>NOT(ISERROR(SEARCH($H$11,F361)))</formula>
      <formula>$H$11</formula>
    </cfRule>
    <cfRule type="containsText" dxfId="3257" priority="4506" operator="containsText" text="$H$12">
      <formula>NOT(ISERROR(SEARCH($H$12,F361)))</formula>
      <formula>$H$12</formula>
    </cfRule>
    <cfRule type="containsText" dxfId="3256" priority="4505" operator="containsText" text="$H$13">
      <formula>NOT(ISERROR(SEARCH($H$13,F361)))</formula>
      <formula>$H$13</formula>
    </cfRule>
  </conditionalFormatting>
  <conditionalFormatting sqref="F361">
    <cfRule type="containsText" dxfId="3255" priority="4504" operator="containsText" text="$H$7">
      <formula>NOT(ISERROR(SEARCH($H$7,F361)))</formula>
      <formula>$H$7</formula>
    </cfRule>
    <cfRule type="containsText" dxfId="3254" priority="4503" operator="containsText" text="$H$8">
      <formula>NOT(ISERROR(SEARCH($H$8,F361)))</formula>
      <formula>$H$8</formula>
    </cfRule>
    <cfRule type="containsText" dxfId="3253" priority="4502" operator="containsText" text="$H$8">
      <formula>NOT(ISERROR(SEARCH($H$8,F361)))</formula>
      <formula>$H$8</formula>
    </cfRule>
    <cfRule type="containsText" dxfId="3252" priority="4501" operator="containsText" text="$H$9">
      <formula>NOT(ISERROR(SEARCH($H$9,F361)))</formula>
      <formula>$H$9</formula>
    </cfRule>
    <cfRule type="containsText" dxfId="3251" priority="4500" operator="containsText" text="$H$10">
      <formula>NOT(ISERROR(SEARCH($H$10,F361)))</formula>
      <formula>$H$10</formula>
    </cfRule>
    <cfRule type="containsText" dxfId="3250" priority="4499" operator="containsText" text="$H$11">
      <formula>NOT(ISERROR(SEARCH($H$11,F361)))</formula>
      <formula>$H$11</formula>
    </cfRule>
    <cfRule type="containsText" dxfId="3249" priority="4498" operator="containsText" text="$H$12">
      <formula>NOT(ISERROR(SEARCH($H$12,F361)))</formula>
      <formula>$H$12</formula>
    </cfRule>
    <cfRule type="containsText" dxfId="3248" priority="4497" operator="containsText" text="$H$13">
      <formula>NOT(ISERROR(SEARCH($H$13,F361)))</formula>
      <formula>$H$13</formula>
    </cfRule>
  </conditionalFormatting>
  <conditionalFormatting sqref="F363">
    <cfRule type="containsText" dxfId="3247" priority="4496" operator="containsText" text="$H$7">
      <formula>NOT(ISERROR(SEARCH($H$7,F363)))</formula>
      <formula>$H$7</formula>
    </cfRule>
    <cfRule type="containsText" dxfId="3246" priority="4495" operator="containsText" text="$H$8">
      <formula>NOT(ISERROR(SEARCH($H$8,F363)))</formula>
      <formula>$H$8</formula>
    </cfRule>
    <cfRule type="containsText" dxfId="3245" priority="4494" operator="containsText" text="$H$8">
      <formula>NOT(ISERROR(SEARCH($H$8,F363)))</formula>
      <formula>$H$8</formula>
    </cfRule>
    <cfRule type="containsText" dxfId="3244" priority="4493" operator="containsText" text="$H$9">
      <formula>NOT(ISERROR(SEARCH($H$9,F363)))</formula>
      <formula>$H$9</formula>
    </cfRule>
    <cfRule type="containsText" dxfId="3243" priority="4492" operator="containsText" text="$H$10">
      <formula>NOT(ISERROR(SEARCH($H$10,F363)))</formula>
      <formula>$H$10</formula>
    </cfRule>
    <cfRule type="containsText" dxfId="3242" priority="4491" operator="containsText" text="$H$11">
      <formula>NOT(ISERROR(SEARCH($H$11,F363)))</formula>
      <formula>$H$11</formula>
    </cfRule>
    <cfRule type="containsText" dxfId="3241" priority="4490" operator="containsText" text="$H$12">
      <formula>NOT(ISERROR(SEARCH($H$12,F363)))</formula>
      <formula>$H$12</formula>
    </cfRule>
    <cfRule type="containsText" dxfId="3240" priority="4489" operator="containsText" text="$H$13">
      <formula>NOT(ISERROR(SEARCH($H$13,F363)))</formula>
      <formula>$H$13</formula>
    </cfRule>
  </conditionalFormatting>
  <conditionalFormatting sqref="F363">
    <cfRule type="containsText" dxfId="3239" priority="4488" operator="containsText" text="$H$7">
      <formula>NOT(ISERROR(SEARCH($H$7,F363)))</formula>
      <formula>$H$7</formula>
    </cfRule>
    <cfRule type="containsText" dxfId="3238" priority="4487" operator="containsText" text="$H$8">
      <formula>NOT(ISERROR(SEARCH($H$8,F363)))</formula>
      <formula>$H$8</formula>
    </cfRule>
    <cfRule type="containsText" dxfId="3237" priority="4486" operator="containsText" text="$H$8">
      <formula>NOT(ISERROR(SEARCH($H$8,F363)))</formula>
      <formula>$H$8</formula>
    </cfRule>
    <cfRule type="containsText" dxfId="3236" priority="4485" operator="containsText" text="$H$9">
      <formula>NOT(ISERROR(SEARCH($H$9,F363)))</formula>
      <formula>$H$9</formula>
    </cfRule>
    <cfRule type="containsText" dxfId="3235" priority="4484" operator="containsText" text="$H$10">
      <formula>NOT(ISERROR(SEARCH($H$10,F363)))</formula>
      <formula>$H$10</formula>
    </cfRule>
    <cfRule type="containsText" dxfId="3234" priority="4483" operator="containsText" text="$H$11">
      <formula>NOT(ISERROR(SEARCH($H$11,F363)))</formula>
      <formula>$H$11</formula>
    </cfRule>
    <cfRule type="containsText" dxfId="3233" priority="4482" operator="containsText" text="$H$12">
      <formula>NOT(ISERROR(SEARCH($H$12,F363)))</formula>
      <formula>$H$12</formula>
    </cfRule>
    <cfRule type="containsText" dxfId="3232" priority="4481" operator="containsText" text="$H$13">
      <formula>NOT(ISERROR(SEARCH($H$13,F363)))</formula>
      <formula>$H$13</formula>
    </cfRule>
  </conditionalFormatting>
  <conditionalFormatting sqref="B366 B372 B370 B368">
    <cfRule type="containsText" dxfId="3231" priority="4480" operator="containsText" text="$H$7">
      <formula>NOT(ISERROR(SEARCH($H$7,B366)))</formula>
      <formula>$H$7</formula>
    </cfRule>
    <cfRule type="containsText" dxfId="3230" priority="4479" operator="containsText" text="$H$8">
      <formula>NOT(ISERROR(SEARCH($H$8,B366)))</formula>
      <formula>$H$8</formula>
    </cfRule>
    <cfRule type="containsText" dxfId="3229" priority="4478" operator="containsText" text="$H$8">
      <formula>NOT(ISERROR(SEARCH($H$8,B366)))</formula>
      <formula>$H$8</formula>
    </cfRule>
    <cfRule type="containsText" dxfId="3228" priority="4477" operator="containsText" text="$H$9">
      <formula>NOT(ISERROR(SEARCH($H$9,B366)))</formula>
      <formula>$H$9</formula>
    </cfRule>
    <cfRule type="containsText" dxfId="3227" priority="4476" operator="containsText" text="$H$10">
      <formula>NOT(ISERROR(SEARCH($H$10,B366)))</formula>
      <formula>$H$10</formula>
    </cfRule>
    <cfRule type="containsText" dxfId="3226" priority="4475" operator="containsText" text="$H$11">
      <formula>NOT(ISERROR(SEARCH($H$11,B366)))</formula>
      <formula>$H$11</formula>
    </cfRule>
    <cfRule type="containsText" dxfId="3225" priority="4474" operator="containsText" text="$H$12">
      <formula>NOT(ISERROR(SEARCH($H$12,B366)))</formula>
      <formula>$H$12</formula>
    </cfRule>
    <cfRule type="containsText" dxfId="3224" priority="4473" operator="containsText" text="$H$13">
      <formula>NOT(ISERROR(SEARCH($H$13,B366)))</formula>
      <formula>$H$13</formula>
    </cfRule>
  </conditionalFormatting>
  <conditionalFormatting sqref="B366 B372 B370 B368">
    <cfRule type="containsText" dxfId="3223" priority="4472" operator="containsText" text="$H$7">
      <formula>NOT(ISERROR(SEARCH($H$7,B366)))</formula>
      <formula>$H$7</formula>
    </cfRule>
    <cfRule type="containsText" dxfId="3222" priority="4471" operator="containsText" text="$H$8">
      <formula>NOT(ISERROR(SEARCH($H$8,B366)))</formula>
      <formula>$H$8</formula>
    </cfRule>
    <cfRule type="containsText" dxfId="3221" priority="4470" operator="containsText" text="$H$8">
      <formula>NOT(ISERROR(SEARCH($H$8,B366)))</formula>
      <formula>$H$8</formula>
    </cfRule>
    <cfRule type="containsText" dxfId="3220" priority="4469" operator="containsText" text="$H$9">
      <formula>NOT(ISERROR(SEARCH($H$9,B366)))</formula>
      <formula>$H$9</formula>
    </cfRule>
    <cfRule type="containsText" dxfId="3219" priority="4468" operator="containsText" text="$H$10">
      <formula>NOT(ISERROR(SEARCH($H$10,B366)))</formula>
      <formula>$H$10</formula>
    </cfRule>
    <cfRule type="containsText" dxfId="3218" priority="4467" operator="containsText" text="$H$11">
      <formula>NOT(ISERROR(SEARCH($H$11,B366)))</formula>
      <formula>$H$11</formula>
    </cfRule>
    <cfRule type="containsText" dxfId="3217" priority="4466" operator="containsText" text="$H$12">
      <formula>NOT(ISERROR(SEARCH($H$12,B366)))</formula>
      <formula>$H$12</formula>
    </cfRule>
    <cfRule type="containsText" dxfId="3216" priority="4465" operator="containsText" text="$H$13">
      <formula>NOT(ISERROR(SEARCH($H$13,B366)))</formula>
      <formula>$H$13</formula>
    </cfRule>
  </conditionalFormatting>
  <conditionalFormatting sqref="B367">
    <cfRule type="containsText" dxfId="3215" priority="4464" operator="containsText" text="$H$7">
      <formula>NOT(ISERROR(SEARCH($H$7,B367)))</formula>
      <formula>$H$7</formula>
    </cfRule>
    <cfRule type="containsText" dxfId="3214" priority="4463" operator="containsText" text="$H$8">
      <formula>NOT(ISERROR(SEARCH($H$8,B367)))</formula>
      <formula>$H$8</formula>
    </cfRule>
    <cfRule type="containsText" dxfId="3213" priority="4462" operator="containsText" text="$H$8">
      <formula>NOT(ISERROR(SEARCH($H$8,B367)))</formula>
      <formula>$H$8</formula>
    </cfRule>
    <cfRule type="containsText" dxfId="3212" priority="4461" operator="containsText" text="$H$9">
      <formula>NOT(ISERROR(SEARCH($H$9,B367)))</formula>
      <formula>$H$9</formula>
    </cfRule>
    <cfRule type="containsText" dxfId="3211" priority="4460" operator="containsText" text="$H$10">
      <formula>NOT(ISERROR(SEARCH($H$10,B367)))</formula>
      <formula>$H$10</formula>
    </cfRule>
    <cfRule type="containsText" dxfId="3210" priority="4459" operator="containsText" text="$H$11">
      <formula>NOT(ISERROR(SEARCH($H$11,B367)))</formula>
      <formula>$H$11</formula>
    </cfRule>
    <cfRule type="containsText" dxfId="3209" priority="4458" operator="containsText" text="$H$12">
      <formula>NOT(ISERROR(SEARCH($H$12,B367)))</formula>
      <formula>$H$12</formula>
    </cfRule>
    <cfRule type="containsText" dxfId="3208" priority="4457" operator="containsText" text="$H$13">
      <formula>NOT(ISERROR(SEARCH($H$13,B367)))</formula>
      <formula>$H$13</formula>
    </cfRule>
  </conditionalFormatting>
  <conditionalFormatting sqref="B367">
    <cfRule type="containsText" dxfId="3207" priority="4456" operator="containsText" text="$H$7">
      <formula>NOT(ISERROR(SEARCH($H$7,B367)))</formula>
      <formula>$H$7</formula>
    </cfRule>
    <cfRule type="containsText" dxfId="3206" priority="4455" operator="containsText" text="$H$8">
      <formula>NOT(ISERROR(SEARCH($H$8,B367)))</formula>
      <formula>$H$8</formula>
    </cfRule>
    <cfRule type="containsText" dxfId="3205" priority="4454" operator="containsText" text="$H$8">
      <formula>NOT(ISERROR(SEARCH($H$8,B367)))</formula>
      <formula>$H$8</formula>
    </cfRule>
    <cfRule type="containsText" dxfId="3204" priority="4453" operator="containsText" text="$H$9">
      <formula>NOT(ISERROR(SEARCH($H$9,B367)))</formula>
      <formula>$H$9</formula>
    </cfRule>
    <cfRule type="containsText" dxfId="3203" priority="4452" operator="containsText" text="$H$10">
      <formula>NOT(ISERROR(SEARCH($H$10,B367)))</formula>
      <formula>$H$10</formula>
    </cfRule>
    <cfRule type="containsText" dxfId="3202" priority="4451" operator="containsText" text="$H$11">
      <formula>NOT(ISERROR(SEARCH($H$11,B367)))</formula>
      <formula>$H$11</formula>
    </cfRule>
    <cfRule type="containsText" dxfId="3201" priority="4450" operator="containsText" text="$H$12">
      <formula>NOT(ISERROR(SEARCH($H$12,B367)))</formula>
      <formula>$H$12</formula>
    </cfRule>
    <cfRule type="containsText" dxfId="3200" priority="4449" operator="containsText" text="$H$13">
      <formula>NOT(ISERROR(SEARCH($H$13,B367)))</formula>
      <formula>$H$13</formula>
    </cfRule>
  </conditionalFormatting>
  <conditionalFormatting sqref="B369">
    <cfRule type="containsText" dxfId="3199" priority="4448" operator="containsText" text="$H$7">
      <formula>NOT(ISERROR(SEARCH($H$7,B369)))</formula>
      <formula>$H$7</formula>
    </cfRule>
    <cfRule type="containsText" dxfId="3198" priority="4447" operator="containsText" text="$H$8">
      <formula>NOT(ISERROR(SEARCH($H$8,B369)))</formula>
      <formula>$H$8</formula>
    </cfRule>
    <cfRule type="containsText" dxfId="3197" priority="4446" operator="containsText" text="$H$8">
      <formula>NOT(ISERROR(SEARCH($H$8,B369)))</formula>
      <formula>$H$8</formula>
    </cfRule>
    <cfRule type="containsText" dxfId="3196" priority="4445" operator="containsText" text="$H$9">
      <formula>NOT(ISERROR(SEARCH($H$9,B369)))</formula>
      <formula>$H$9</formula>
    </cfRule>
    <cfRule type="containsText" dxfId="3195" priority="4444" operator="containsText" text="$H$10">
      <formula>NOT(ISERROR(SEARCH($H$10,B369)))</formula>
      <formula>$H$10</formula>
    </cfRule>
    <cfRule type="containsText" dxfId="3194" priority="4443" operator="containsText" text="$H$11">
      <formula>NOT(ISERROR(SEARCH($H$11,B369)))</formula>
      <formula>$H$11</formula>
    </cfRule>
    <cfRule type="containsText" dxfId="3193" priority="4442" operator="containsText" text="$H$12">
      <formula>NOT(ISERROR(SEARCH($H$12,B369)))</formula>
      <formula>$H$12</formula>
    </cfRule>
    <cfRule type="containsText" dxfId="3192" priority="4441" operator="containsText" text="$H$13">
      <formula>NOT(ISERROR(SEARCH($H$13,B369)))</formula>
      <formula>$H$13</formula>
    </cfRule>
  </conditionalFormatting>
  <conditionalFormatting sqref="B369">
    <cfRule type="containsText" dxfId="3191" priority="4440" operator="containsText" text="$H$7">
      <formula>NOT(ISERROR(SEARCH($H$7,B369)))</formula>
      <formula>$H$7</formula>
    </cfRule>
    <cfRule type="containsText" dxfId="3190" priority="4439" operator="containsText" text="$H$8">
      <formula>NOT(ISERROR(SEARCH($H$8,B369)))</formula>
      <formula>$H$8</formula>
    </cfRule>
    <cfRule type="containsText" dxfId="3189" priority="4438" operator="containsText" text="$H$8">
      <formula>NOT(ISERROR(SEARCH($H$8,B369)))</formula>
      <formula>$H$8</formula>
    </cfRule>
    <cfRule type="containsText" dxfId="3188" priority="4437" operator="containsText" text="$H$9">
      <formula>NOT(ISERROR(SEARCH($H$9,B369)))</formula>
      <formula>$H$9</formula>
    </cfRule>
    <cfRule type="containsText" dxfId="3187" priority="4436" operator="containsText" text="$H$10">
      <formula>NOT(ISERROR(SEARCH($H$10,B369)))</formula>
      <formula>$H$10</formula>
    </cfRule>
    <cfRule type="containsText" dxfId="3186" priority="4435" operator="containsText" text="$H$11">
      <formula>NOT(ISERROR(SEARCH($H$11,B369)))</formula>
      <formula>$H$11</formula>
    </cfRule>
    <cfRule type="containsText" dxfId="3185" priority="4434" operator="containsText" text="$H$12">
      <formula>NOT(ISERROR(SEARCH($H$12,B369)))</formula>
      <formula>$H$12</formula>
    </cfRule>
    <cfRule type="containsText" dxfId="3184" priority="4433" operator="containsText" text="$H$13">
      <formula>NOT(ISERROR(SEARCH($H$13,B369)))</formula>
      <formula>$H$13</formula>
    </cfRule>
  </conditionalFormatting>
  <conditionalFormatting sqref="B371">
    <cfRule type="containsText" dxfId="3183" priority="4432" operator="containsText" text="$H$7">
      <formula>NOT(ISERROR(SEARCH($H$7,B371)))</formula>
      <formula>$H$7</formula>
    </cfRule>
    <cfRule type="containsText" dxfId="3182" priority="4431" operator="containsText" text="$H$8">
      <formula>NOT(ISERROR(SEARCH($H$8,B371)))</formula>
      <formula>$H$8</formula>
    </cfRule>
    <cfRule type="containsText" dxfId="3181" priority="4430" operator="containsText" text="$H$8">
      <formula>NOT(ISERROR(SEARCH($H$8,B371)))</formula>
      <formula>$H$8</formula>
    </cfRule>
    <cfRule type="containsText" dxfId="3180" priority="4429" operator="containsText" text="$H$9">
      <formula>NOT(ISERROR(SEARCH($H$9,B371)))</formula>
      <formula>$H$9</formula>
    </cfRule>
    <cfRule type="containsText" dxfId="3179" priority="4428" operator="containsText" text="$H$10">
      <formula>NOT(ISERROR(SEARCH($H$10,B371)))</formula>
      <formula>$H$10</formula>
    </cfRule>
    <cfRule type="containsText" dxfId="3178" priority="4427" operator="containsText" text="$H$11">
      <formula>NOT(ISERROR(SEARCH($H$11,B371)))</formula>
      <formula>$H$11</formula>
    </cfRule>
    <cfRule type="containsText" dxfId="3177" priority="4426" operator="containsText" text="$H$12">
      <formula>NOT(ISERROR(SEARCH($H$12,B371)))</formula>
      <formula>$H$12</formula>
    </cfRule>
    <cfRule type="containsText" dxfId="3176" priority="4425" operator="containsText" text="$H$13">
      <formula>NOT(ISERROR(SEARCH($H$13,B371)))</formula>
      <formula>$H$13</formula>
    </cfRule>
  </conditionalFormatting>
  <conditionalFormatting sqref="B371">
    <cfRule type="containsText" dxfId="3175" priority="4424" operator="containsText" text="$H$7">
      <formula>NOT(ISERROR(SEARCH($H$7,B371)))</formula>
      <formula>$H$7</formula>
    </cfRule>
    <cfRule type="containsText" dxfId="3174" priority="4423" operator="containsText" text="$H$8">
      <formula>NOT(ISERROR(SEARCH($H$8,B371)))</formula>
      <formula>$H$8</formula>
    </cfRule>
    <cfRule type="containsText" dxfId="3173" priority="4422" operator="containsText" text="$H$8">
      <formula>NOT(ISERROR(SEARCH($H$8,B371)))</formula>
      <formula>$H$8</formula>
    </cfRule>
    <cfRule type="containsText" dxfId="3172" priority="4421" operator="containsText" text="$H$9">
      <formula>NOT(ISERROR(SEARCH($H$9,B371)))</formula>
      <formula>$H$9</formula>
    </cfRule>
    <cfRule type="containsText" dxfId="3171" priority="4420" operator="containsText" text="$H$10">
      <formula>NOT(ISERROR(SEARCH($H$10,B371)))</formula>
      <formula>$H$10</formula>
    </cfRule>
    <cfRule type="containsText" dxfId="3170" priority="4419" operator="containsText" text="$H$11">
      <formula>NOT(ISERROR(SEARCH($H$11,B371)))</formula>
      <formula>$H$11</formula>
    </cfRule>
    <cfRule type="containsText" dxfId="3169" priority="4418" operator="containsText" text="$H$12">
      <formula>NOT(ISERROR(SEARCH($H$12,B371)))</formula>
      <formula>$H$12</formula>
    </cfRule>
    <cfRule type="containsText" dxfId="3168" priority="4417" operator="containsText" text="$H$13">
      <formula>NOT(ISERROR(SEARCH($H$13,B371)))</formula>
      <formula>$H$13</formula>
    </cfRule>
  </conditionalFormatting>
  <conditionalFormatting sqref="B373">
    <cfRule type="containsText" dxfId="3167" priority="4416" operator="containsText" text="$H$7">
      <formula>NOT(ISERROR(SEARCH($H$7,B373)))</formula>
      <formula>$H$7</formula>
    </cfRule>
    <cfRule type="containsText" dxfId="3166" priority="4415" operator="containsText" text="$H$8">
      <formula>NOT(ISERROR(SEARCH($H$8,B373)))</formula>
      <formula>$H$8</formula>
    </cfRule>
    <cfRule type="containsText" dxfId="3165" priority="4414" operator="containsText" text="$H$8">
      <formula>NOT(ISERROR(SEARCH($H$8,B373)))</formula>
      <formula>$H$8</formula>
    </cfRule>
    <cfRule type="containsText" dxfId="3164" priority="4413" operator="containsText" text="$H$9">
      <formula>NOT(ISERROR(SEARCH($H$9,B373)))</formula>
      <formula>$H$9</formula>
    </cfRule>
    <cfRule type="containsText" dxfId="3163" priority="4412" operator="containsText" text="$H$10">
      <formula>NOT(ISERROR(SEARCH($H$10,B373)))</formula>
      <formula>$H$10</formula>
    </cfRule>
    <cfRule type="containsText" dxfId="3162" priority="4411" operator="containsText" text="$H$11">
      <formula>NOT(ISERROR(SEARCH($H$11,B373)))</formula>
      <formula>$H$11</formula>
    </cfRule>
    <cfRule type="containsText" dxfId="3161" priority="4410" operator="containsText" text="$H$12">
      <formula>NOT(ISERROR(SEARCH($H$12,B373)))</formula>
      <formula>$H$12</formula>
    </cfRule>
    <cfRule type="containsText" dxfId="3160" priority="4409" operator="containsText" text="$H$13">
      <formula>NOT(ISERROR(SEARCH($H$13,B373)))</formula>
      <formula>$H$13</formula>
    </cfRule>
  </conditionalFormatting>
  <conditionalFormatting sqref="B373">
    <cfRule type="containsText" dxfId="3159" priority="4408" operator="containsText" text="$H$7">
      <formula>NOT(ISERROR(SEARCH($H$7,B373)))</formula>
      <formula>$H$7</formula>
    </cfRule>
    <cfRule type="containsText" dxfId="3158" priority="4407" operator="containsText" text="$H$8">
      <formula>NOT(ISERROR(SEARCH($H$8,B373)))</formula>
      <formula>$H$8</formula>
    </cfRule>
    <cfRule type="containsText" dxfId="3157" priority="4406" operator="containsText" text="$H$8">
      <formula>NOT(ISERROR(SEARCH($H$8,B373)))</formula>
      <formula>$H$8</formula>
    </cfRule>
    <cfRule type="containsText" dxfId="3156" priority="4405" operator="containsText" text="$H$9">
      <formula>NOT(ISERROR(SEARCH($H$9,B373)))</formula>
      <formula>$H$9</formula>
    </cfRule>
    <cfRule type="containsText" dxfId="3155" priority="4404" operator="containsText" text="$H$10">
      <formula>NOT(ISERROR(SEARCH($H$10,B373)))</formula>
      <formula>$H$10</formula>
    </cfRule>
    <cfRule type="containsText" dxfId="3154" priority="4403" operator="containsText" text="$H$11">
      <formula>NOT(ISERROR(SEARCH($H$11,B373)))</formula>
      <formula>$H$11</formula>
    </cfRule>
    <cfRule type="containsText" dxfId="3153" priority="4402" operator="containsText" text="$H$12">
      <formula>NOT(ISERROR(SEARCH($H$12,B373)))</formula>
      <formula>$H$12</formula>
    </cfRule>
    <cfRule type="containsText" dxfId="3152" priority="4401" operator="containsText" text="$H$13">
      <formula>NOT(ISERROR(SEARCH($H$13,B373)))</formula>
      <formula>$H$13</formula>
    </cfRule>
  </conditionalFormatting>
  <conditionalFormatting sqref="D374 D380 D378 D376">
    <cfRule type="containsText" dxfId="3151" priority="4400" operator="containsText" text="$H$7">
      <formula>NOT(ISERROR(SEARCH($H$7,D374)))</formula>
      <formula>$H$7</formula>
    </cfRule>
    <cfRule type="containsText" dxfId="3150" priority="4399" operator="containsText" text="$H$8">
      <formula>NOT(ISERROR(SEARCH($H$8,D374)))</formula>
      <formula>$H$8</formula>
    </cfRule>
    <cfRule type="containsText" dxfId="3149" priority="4398" operator="containsText" text="$H$8">
      <formula>NOT(ISERROR(SEARCH($H$8,D374)))</formula>
      <formula>$H$8</formula>
    </cfRule>
    <cfRule type="containsText" dxfId="3148" priority="4397" operator="containsText" text="$H$9">
      <formula>NOT(ISERROR(SEARCH($H$9,D374)))</formula>
      <formula>$H$9</formula>
    </cfRule>
    <cfRule type="containsText" dxfId="3147" priority="4396" operator="containsText" text="$H$10">
      <formula>NOT(ISERROR(SEARCH($H$10,D374)))</formula>
      <formula>$H$10</formula>
    </cfRule>
    <cfRule type="containsText" dxfId="3146" priority="4395" operator="containsText" text="$H$11">
      <formula>NOT(ISERROR(SEARCH($H$11,D374)))</formula>
      <formula>$H$11</formula>
    </cfRule>
    <cfRule type="containsText" dxfId="3145" priority="4394" operator="containsText" text="$H$12">
      <formula>NOT(ISERROR(SEARCH($H$12,D374)))</formula>
      <formula>$H$12</formula>
    </cfRule>
    <cfRule type="containsText" dxfId="3144" priority="4393" operator="containsText" text="$H$13">
      <formula>NOT(ISERROR(SEARCH($H$13,D374)))</formula>
      <formula>$H$13</formula>
    </cfRule>
  </conditionalFormatting>
  <conditionalFormatting sqref="D374 D380 D378 D376">
    <cfRule type="containsText" dxfId="3143" priority="4392" operator="containsText" text="$H$7">
      <formula>NOT(ISERROR(SEARCH($H$7,D374)))</formula>
      <formula>$H$7</formula>
    </cfRule>
    <cfRule type="containsText" dxfId="3142" priority="4391" operator="containsText" text="$H$8">
      <formula>NOT(ISERROR(SEARCH($H$8,D374)))</formula>
      <formula>$H$8</formula>
    </cfRule>
    <cfRule type="containsText" dxfId="3141" priority="4390" operator="containsText" text="$H$8">
      <formula>NOT(ISERROR(SEARCH($H$8,D374)))</formula>
      <formula>$H$8</formula>
    </cfRule>
    <cfRule type="containsText" dxfId="3140" priority="4389" operator="containsText" text="$H$9">
      <formula>NOT(ISERROR(SEARCH($H$9,D374)))</formula>
      <formula>$H$9</formula>
    </cfRule>
    <cfRule type="containsText" dxfId="3139" priority="4388" operator="containsText" text="$H$10">
      <formula>NOT(ISERROR(SEARCH($H$10,D374)))</formula>
      <formula>$H$10</formula>
    </cfRule>
    <cfRule type="containsText" dxfId="3138" priority="4387" operator="containsText" text="$H$11">
      <formula>NOT(ISERROR(SEARCH($H$11,D374)))</formula>
      <formula>$H$11</formula>
    </cfRule>
    <cfRule type="containsText" dxfId="3137" priority="4386" operator="containsText" text="$H$12">
      <formula>NOT(ISERROR(SEARCH($H$12,D374)))</formula>
      <formula>$H$12</formula>
    </cfRule>
    <cfRule type="containsText" dxfId="3136" priority="4385" operator="containsText" text="$H$13">
      <formula>NOT(ISERROR(SEARCH($H$13,D374)))</formula>
      <formula>$H$13</formula>
    </cfRule>
  </conditionalFormatting>
  <conditionalFormatting sqref="D375">
    <cfRule type="containsText" dxfId="3135" priority="4384" operator="containsText" text="$H$7">
      <formula>NOT(ISERROR(SEARCH($H$7,D375)))</formula>
      <formula>$H$7</formula>
    </cfRule>
    <cfRule type="containsText" dxfId="3134" priority="4383" operator="containsText" text="$H$8">
      <formula>NOT(ISERROR(SEARCH($H$8,D375)))</formula>
      <formula>$H$8</formula>
    </cfRule>
    <cfRule type="containsText" dxfId="3133" priority="4382" operator="containsText" text="$H$8">
      <formula>NOT(ISERROR(SEARCH($H$8,D375)))</formula>
      <formula>$H$8</formula>
    </cfRule>
    <cfRule type="containsText" dxfId="3132" priority="4381" operator="containsText" text="$H$9">
      <formula>NOT(ISERROR(SEARCH($H$9,D375)))</formula>
      <formula>$H$9</formula>
    </cfRule>
    <cfRule type="containsText" dxfId="3131" priority="4380" operator="containsText" text="$H$10">
      <formula>NOT(ISERROR(SEARCH($H$10,D375)))</formula>
      <formula>$H$10</formula>
    </cfRule>
    <cfRule type="containsText" dxfId="3130" priority="4379" operator="containsText" text="$H$11">
      <formula>NOT(ISERROR(SEARCH($H$11,D375)))</formula>
      <formula>$H$11</formula>
    </cfRule>
    <cfRule type="containsText" dxfId="3129" priority="4378" operator="containsText" text="$H$12">
      <formula>NOT(ISERROR(SEARCH($H$12,D375)))</formula>
      <formula>$H$12</formula>
    </cfRule>
    <cfRule type="containsText" dxfId="3128" priority="4377" operator="containsText" text="$H$13">
      <formula>NOT(ISERROR(SEARCH($H$13,D375)))</formula>
      <formula>$H$13</formula>
    </cfRule>
  </conditionalFormatting>
  <conditionalFormatting sqref="D375">
    <cfRule type="containsText" dxfId="3127" priority="4376" operator="containsText" text="$H$7">
      <formula>NOT(ISERROR(SEARCH($H$7,D375)))</formula>
      <formula>$H$7</formula>
    </cfRule>
    <cfRule type="containsText" dxfId="3126" priority="4375" operator="containsText" text="$H$8">
      <formula>NOT(ISERROR(SEARCH($H$8,D375)))</formula>
      <formula>$H$8</formula>
    </cfRule>
    <cfRule type="containsText" dxfId="3125" priority="4374" operator="containsText" text="$H$8">
      <formula>NOT(ISERROR(SEARCH($H$8,D375)))</formula>
      <formula>$H$8</formula>
    </cfRule>
    <cfRule type="containsText" dxfId="3124" priority="4373" operator="containsText" text="$H$9">
      <formula>NOT(ISERROR(SEARCH($H$9,D375)))</formula>
      <formula>$H$9</formula>
    </cfRule>
    <cfRule type="containsText" dxfId="3123" priority="4372" operator="containsText" text="$H$10">
      <formula>NOT(ISERROR(SEARCH($H$10,D375)))</formula>
      <formula>$H$10</formula>
    </cfRule>
    <cfRule type="containsText" dxfId="3122" priority="4371" operator="containsText" text="$H$11">
      <formula>NOT(ISERROR(SEARCH($H$11,D375)))</formula>
      <formula>$H$11</formula>
    </cfRule>
    <cfRule type="containsText" dxfId="3121" priority="4370" operator="containsText" text="$H$12">
      <formula>NOT(ISERROR(SEARCH($H$12,D375)))</formula>
      <formula>$H$12</formula>
    </cfRule>
    <cfRule type="containsText" dxfId="3120" priority="4369" operator="containsText" text="$H$13">
      <formula>NOT(ISERROR(SEARCH($H$13,D375)))</formula>
      <formula>$H$13</formula>
    </cfRule>
  </conditionalFormatting>
  <conditionalFormatting sqref="D377">
    <cfRule type="containsText" dxfId="3119" priority="4368" operator="containsText" text="$H$7">
      <formula>NOT(ISERROR(SEARCH($H$7,D377)))</formula>
      <formula>$H$7</formula>
    </cfRule>
    <cfRule type="containsText" dxfId="3118" priority="4367" operator="containsText" text="$H$8">
      <formula>NOT(ISERROR(SEARCH($H$8,D377)))</formula>
      <formula>$H$8</formula>
    </cfRule>
    <cfRule type="containsText" dxfId="3117" priority="4366" operator="containsText" text="$H$8">
      <formula>NOT(ISERROR(SEARCH($H$8,D377)))</formula>
      <formula>$H$8</formula>
    </cfRule>
    <cfRule type="containsText" dxfId="3116" priority="4365" operator="containsText" text="$H$9">
      <formula>NOT(ISERROR(SEARCH($H$9,D377)))</formula>
      <formula>$H$9</formula>
    </cfRule>
    <cfRule type="containsText" dxfId="3115" priority="4364" operator="containsText" text="$H$10">
      <formula>NOT(ISERROR(SEARCH($H$10,D377)))</formula>
      <formula>$H$10</formula>
    </cfRule>
    <cfRule type="containsText" dxfId="3114" priority="4363" operator="containsText" text="$H$11">
      <formula>NOT(ISERROR(SEARCH($H$11,D377)))</formula>
      <formula>$H$11</formula>
    </cfRule>
    <cfRule type="containsText" dxfId="3113" priority="4362" operator="containsText" text="$H$12">
      <formula>NOT(ISERROR(SEARCH($H$12,D377)))</formula>
      <formula>$H$12</formula>
    </cfRule>
    <cfRule type="containsText" dxfId="3112" priority="4361" operator="containsText" text="$H$13">
      <formula>NOT(ISERROR(SEARCH($H$13,D377)))</formula>
      <formula>$H$13</formula>
    </cfRule>
  </conditionalFormatting>
  <conditionalFormatting sqref="D377">
    <cfRule type="containsText" dxfId="3111" priority="4360" operator="containsText" text="$H$7">
      <formula>NOT(ISERROR(SEARCH($H$7,D377)))</formula>
      <formula>$H$7</formula>
    </cfRule>
    <cfRule type="containsText" dxfId="3110" priority="4359" operator="containsText" text="$H$8">
      <formula>NOT(ISERROR(SEARCH($H$8,D377)))</formula>
      <formula>$H$8</formula>
    </cfRule>
    <cfRule type="containsText" dxfId="3109" priority="4358" operator="containsText" text="$H$8">
      <formula>NOT(ISERROR(SEARCH($H$8,D377)))</formula>
      <formula>$H$8</formula>
    </cfRule>
    <cfRule type="containsText" dxfId="3108" priority="4357" operator="containsText" text="$H$9">
      <formula>NOT(ISERROR(SEARCH($H$9,D377)))</formula>
      <formula>$H$9</formula>
    </cfRule>
    <cfRule type="containsText" dxfId="3107" priority="4356" operator="containsText" text="$H$10">
      <formula>NOT(ISERROR(SEARCH($H$10,D377)))</formula>
      <formula>$H$10</formula>
    </cfRule>
    <cfRule type="containsText" dxfId="3106" priority="4355" operator="containsText" text="$H$11">
      <formula>NOT(ISERROR(SEARCH($H$11,D377)))</formula>
      <formula>$H$11</formula>
    </cfRule>
    <cfRule type="containsText" dxfId="3105" priority="4354" operator="containsText" text="$H$12">
      <formula>NOT(ISERROR(SEARCH($H$12,D377)))</formula>
      <formula>$H$12</formula>
    </cfRule>
    <cfRule type="containsText" dxfId="3104" priority="4353" operator="containsText" text="$H$13">
      <formula>NOT(ISERROR(SEARCH($H$13,D377)))</formula>
      <formula>$H$13</formula>
    </cfRule>
  </conditionalFormatting>
  <conditionalFormatting sqref="D379">
    <cfRule type="containsText" dxfId="3103" priority="4352" operator="containsText" text="$H$7">
      <formula>NOT(ISERROR(SEARCH($H$7,D379)))</formula>
      <formula>$H$7</formula>
    </cfRule>
    <cfRule type="containsText" dxfId="3102" priority="4351" operator="containsText" text="$H$8">
      <formula>NOT(ISERROR(SEARCH($H$8,D379)))</formula>
      <formula>$H$8</formula>
    </cfRule>
    <cfRule type="containsText" dxfId="3101" priority="4350" operator="containsText" text="$H$8">
      <formula>NOT(ISERROR(SEARCH($H$8,D379)))</formula>
      <formula>$H$8</formula>
    </cfRule>
    <cfRule type="containsText" dxfId="3100" priority="4349" operator="containsText" text="$H$9">
      <formula>NOT(ISERROR(SEARCH($H$9,D379)))</formula>
      <formula>$H$9</formula>
    </cfRule>
    <cfRule type="containsText" dxfId="3099" priority="4348" operator="containsText" text="$H$10">
      <formula>NOT(ISERROR(SEARCH($H$10,D379)))</formula>
      <formula>$H$10</formula>
    </cfRule>
    <cfRule type="containsText" dxfId="3098" priority="4347" operator="containsText" text="$H$11">
      <formula>NOT(ISERROR(SEARCH($H$11,D379)))</formula>
      <formula>$H$11</formula>
    </cfRule>
    <cfRule type="containsText" dxfId="3097" priority="4346" operator="containsText" text="$H$12">
      <formula>NOT(ISERROR(SEARCH($H$12,D379)))</formula>
      <formula>$H$12</formula>
    </cfRule>
    <cfRule type="containsText" dxfId="3096" priority="4345" operator="containsText" text="$H$13">
      <formula>NOT(ISERROR(SEARCH($H$13,D379)))</formula>
      <formula>$H$13</formula>
    </cfRule>
  </conditionalFormatting>
  <conditionalFormatting sqref="D379">
    <cfRule type="containsText" dxfId="3095" priority="4344" operator="containsText" text="$H$7">
      <formula>NOT(ISERROR(SEARCH($H$7,D379)))</formula>
      <formula>$H$7</formula>
    </cfRule>
    <cfRule type="containsText" dxfId="3094" priority="4343" operator="containsText" text="$H$8">
      <formula>NOT(ISERROR(SEARCH($H$8,D379)))</formula>
      <formula>$H$8</formula>
    </cfRule>
    <cfRule type="containsText" dxfId="3093" priority="4342" operator="containsText" text="$H$8">
      <formula>NOT(ISERROR(SEARCH($H$8,D379)))</formula>
      <formula>$H$8</formula>
    </cfRule>
    <cfRule type="containsText" dxfId="3092" priority="4341" operator="containsText" text="$H$9">
      <formula>NOT(ISERROR(SEARCH($H$9,D379)))</formula>
      <formula>$H$9</formula>
    </cfRule>
    <cfRule type="containsText" dxfId="3091" priority="4340" operator="containsText" text="$H$10">
      <formula>NOT(ISERROR(SEARCH($H$10,D379)))</formula>
      <formula>$H$10</formula>
    </cfRule>
    <cfRule type="containsText" dxfId="3090" priority="4339" operator="containsText" text="$H$11">
      <formula>NOT(ISERROR(SEARCH($H$11,D379)))</formula>
      <formula>$H$11</formula>
    </cfRule>
    <cfRule type="containsText" dxfId="3089" priority="4338" operator="containsText" text="$H$12">
      <formula>NOT(ISERROR(SEARCH($H$12,D379)))</formula>
      <formula>$H$12</formula>
    </cfRule>
    <cfRule type="containsText" dxfId="3088" priority="4337" operator="containsText" text="$H$13">
      <formula>NOT(ISERROR(SEARCH($H$13,D379)))</formula>
      <formula>$H$13</formula>
    </cfRule>
  </conditionalFormatting>
  <conditionalFormatting sqref="D381">
    <cfRule type="containsText" dxfId="3087" priority="4336" operator="containsText" text="$H$7">
      <formula>NOT(ISERROR(SEARCH($H$7,D381)))</formula>
      <formula>$H$7</formula>
    </cfRule>
    <cfRule type="containsText" dxfId="3086" priority="4335" operator="containsText" text="$H$8">
      <formula>NOT(ISERROR(SEARCH($H$8,D381)))</formula>
      <formula>$H$8</formula>
    </cfRule>
    <cfRule type="containsText" dxfId="3085" priority="4334" operator="containsText" text="$H$8">
      <formula>NOT(ISERROR(SEARCH($H$8,D381)))</formula>
      <formula>$H$8</formula>
    </cfRule>
    <cfRule type="containsText" dxfId="3084" priority="4333" operator="containsText" text="$H$9">
      <formula>NOT(ISERROR(SEARCH($H$9,D381)))</formula>
      <formula>$H$9</formula>
    </cfRule>
    <cfRule type="containsText" dxfId="3083" priority="4332" operator="containsText" text="$H$10">
      <formula>NOT(ISERROR(SEARCH($H$10,D381)))</formula>
      <formula>$H$10</formula>
    </cfRule>
    <cfRule type="containsText" dxfId="3082" priority="4331" operator="containsText" text="$H$11">
      <formula>NOT(ISERROR(SEARCH($H$11,D381)))</formula>
      <formula>$H$11</formula>
    </cfRule>
    <cfRule type="containsText" dxfId="3081" priority="4330" operator="containsText" text="$H$12">
      <formula>NOT(ISERROR(SEARCH($H$12,D381)))</formula>
      <formula>$H$12</formula>
    </cfRule>
    <cfRule type="containsText" dxfId="3080" priority="4329" operator="containsText" text="$H$13">
      <formula>NOT(ISERROR(SEARCH($H$13,D381)))</formula>
      <formula>$H$13</formula>
    </cfRule>
  </conditionalFormatting>
  <conditionalFormatting sqref="D381">
    <cfRule type="containsText" dxfId="3079" priority="4328" operator="containsText" text="$H$7">
      <formula>NOT(ISERROR(SEARCH($H$7,D381)))</formula>
      <formula>$H$7</formula>
    </cfRule>
    <cfRule type="containsText" dxfId="3078" priority="4327" operator="containsText" text="$H$8">
      <formula>NOT(ISERROR(SEARCH($H$8,D381)))</formula>
      <formula>$H$8</formula>
    </cfRule>
    <cfRule type="containsText" dxfId="3077" priority="4326" operator="containsText" text="$H$8">
      <formula>NOT(ISERROR(SEARCH($H$8,D381)))</formula>
      <formula>$H$8</formula>
    </cfRule>
    <cfRule type="containsText" dxfId="3076" priority="4325" operator="containsText" text="$H$9">
      <formula>NOT(ISERROR(SEARCH($H$9,D381)))</formula>
      <formula>$H$9</formula>
    </cfRule>
    <cfRule type="containsText" dxfId="3075" priority="4324" operator="containsText" text="$H$10">
      <formula>NOT(ISERROR(SEARCH($H$10,D381)))</formula>
      <formula>$H$10</formula>
    </cfRule>
    <cfRule type="containsText" dxfId="3074" priority="4323" operator="containsText" text="$H$11">
      <formula>NOT(ISERROR(SEARCH($H$11,D381)))</formula>
      <formula>$H$11</formula>
    </cfRule>
    <cfRule type="containsText" dxfId="3073" priority="4322" operator="containsText" text="$H$12">
      <formula>NOT(ISERROR(SEARCH($H$12,D381)))</formula>
      <formula>$H$12</formula>
    </cfRule>
    <cfRule type="containsText" dxfId="3072" priority="4321" operator="containsText" text="$H$13">
      <formula>NOT(ISERROR(SEARCH($H$13,D381)))</formula>
      <formula>$H$13</formula>
    </cfRule>
  </conditionalFormatting>
  <conditionalFormatting sqref="F366 F372 F370 F368">
    <cfRule type="containsText" dxfId="3071" priority="4320" operator="containsText" text="$H$7">
      <formula>NOT(ISERROR(SEARCH($H$7,F366)))</formula>
      <formula>$H$7</formula>
    </cfRule>
    <cfRule type="containsText" dxfId="3070" priority="4319" operator="containsText" text="$H$8">
      <formula>NOT(ISERROR(SEARCH($H$8,F366)))</formula>
      <formula>$H$8</formula>
    </cfRule>
    <cfRule type="containsText" dxfId="3069" priority="4318" operator="containsText" text="$H$8">
      <formula>NOT(ISERROR(SEARCH($H$8,F366)))</formula>
      <formula>$H$8</formula>
    </cfRule>
    <cfRule type="containsText" dxfId="3068" priority="4317" operator="containsText" text="$H$9">
      <formula>NOT(ISERROR(SEARCH($H$9,F366)))</formula>
      <formula>$H$9</formula>
    </cfRule>
    <cfRule type="containsText" dxfId="3067" priority="4316" operator="containsText" text="$H$10">
      <formula>NOT(ISERROR(SEARCH($H$10,F366)))</formula>
      <formula>$H$10</formula>
    </cfRule>
    <cfRule type="containsText" dxfId="3066" priority="4315" operator="containsText" text="$H$11">
      <formula>NOT(ISERROR(SEARCH($H$11,F366)))</formula>
      <formula>$H$11</formula>
    </cfRule>
    <cfRule type="containsText" dxfId="3065" priority="4314" operator="containsText" text="$H$12">
      <formula>NOT(ISERROR(SEARCH($H$12,F366)))</formula>
      <formula>$H$12</formula>
    </cfRule>
    <cfRule type="containsText" dxfId="3064" priority="4313" operator="containsText" text="$H$13">
      <formula>NOT(ISERROR(SEARCH($H$13,F366)))</formula>
      <formula>$H$13</formula>
    </cfRule>
  </conditionalFormatting>
  <conditionalFormatting sqref="F366 F372 F370 F368">
    <cfRule type="containsText" dxfId="3063" priority="4312" operator="containsText" text="$H$7">
      <formula>NOT(ISERROR(SEARCH($H$7,F366)))</formula>
      <formula>$H$7</formula>
    </cfRule>
    <cfRule type="containsText" dxfId="3062" priority="4311" operator="containsText" text="$H$8">
      <formula>NOT(ISERROR(SEARCH($H$8,F366)))</formula>
      <formula>$H$8</formula>
    </cfRule>
    <cfRule type="containsText" dxfId="3061" priority="4310" operator="containsText" text="$H$8">
      <formula>NOT(ISERROR(SEARCH($H$8,F366)))</formula>
      <formula>$H$8</formula>
    </cfRule>
    <cfRule type="containsText" dxfId="3060" priority="4309" operator="containsText" text="$H$9">
      <formula>NOT(ISERROR(SEARCH($H$9,F366)))</formula>
      <formula>$H$9</formula>
    </cfRule>
    <cfRule type="containsText" dxfId="3059" priority="4308" operator="containsText" text="$H$10">
      <formula>NOT(ISERROR(SEARCH($H$10,F366)))</formula>
      <formula>$H$10</formula>
    </cfRule>
    <cfRule type="containsText" dxfId="3058" priority="4307" operator="containsText" text="$H$11">
      <formula>NOT(ISERROR(SEARCH($H$11,F366)))</formula>
      <formula>$H$11</formula>
    </cfRule>
    <cfRule type="containsText" dxfId="3057" priority="4306" operator="containsText" text="$H$12">
      <formula>NOT(ISERROR(SEARCH($H$12,F366)))</formula>
      <formula>$H$12</formula>
    </cfRule>
    <cfRule type="containsText" dxfId="3056" priority="4305" operator="containsText" text="$H$13">
      <formula>NOT(ISERROR(SEARCH($H$13,F366)))</formula>
      <formula>$H$13</formula>
    </cfRule>
  </conditionalFormatting>
  <conditionalFormatting sqref="B384 B390 B388 B386">
    <cfRule type="containsText" dxfId="3055" priority="4240" operator="containsText" text="$H$7">
      <formula>NOT(ISERROR(SEARCH($H$7,B384)))</formula>
      <formula>$H$7</formula>
    </cfRule>
    <cfRule type="containsText" dxfId="3054" priority="4239" operator="containsText" text="$H$8">
      <formula>NOT(ISERROR(SEARCH($H$8,B384)))</formula>
      <formula>$H$8</formula>
    </cfRule>
    <cfRule type="containsText" dxfId="3053" priority="4238" operator="containsText" text="$H$8">
      <formula>NOT(ISERROR(SEARCH($H$8,B384)))</formula>
      <formula>$H$8</formula>
    </cfRule>
    <cfRule type="containsText" dxfId="3052" priority="4237" operator="containsText" text="$H$9">
      <formula>NOT(ISERROR(SEARCH($H$9,B384)))</formula>
      <formula>$H$9</formula>
    </cfRule>
    <cfRule type="containsText" dxfId="3051" priority="4236" operator="containsText" text="$H$10">
      <formula>NOT(ISERROR(SEARCH($H$10,B384)))</formula>
      <formula>$H$10</formula>
    </cfRule>
    <cfRule type="containsText" dxfId="3050" priority="4235" operator="containsText" text="$H$11">
      <formula>NOT(ISERROR(SEARCH($H$11,B384)))</formula>
      <formula>$H$11</formula>
    </cfRule>
    <cfRule type="containsText" dxfId="3049" priority="4234" operator="containsText" text="$H$12">
      <formula>NOT(ISERROR(SEARCH($H$12,B384)))</formula>
      <formula>$H$12</formula>
    </cfRule>
    <cfRule type="containsText" dxfId="3048" priority="4233" operator="containsText" text="$H$13">
      <formula>NOT(ISERROR(SEARCH($H$13,B384)))</formula>
      <formula>$H$13</formula>
    </cfRule>
  </conditionalFormatting>
  <conditionalFormatting sqref="B384 B390 B388 B386">
    <cfRule type="containsText" dxfId="3047" priority="4232" operator="containsText" text="$H$7">
      <formula>NOT(ISERROR(SEARCH($H$7,B384)))</formula>
      <formula>$H$7</formula>
    </cfRule>
    <cfRule type="containsText" dxfId="3046" priority="4231" operator="containsText" text="$H$8">
      <formula>NOT(ISERROR(SEARCH($H$8,B384)))</formula>
      <formula>$H$8</formula>
    </cfRule>
    <cfRule type="containsText" dxfId="3045" priority="4230" operator="containsText" text="$H$8">
      <formula>NOT(ISERROR(SEARCH($H$8,B384)))</formula>
      <formula>$H$8</formula>
    </cfRule>
    <cfRule type="containsText" dxfId="3044" priority="4229" operator="containsText" text="$H$9">
      <formula>NOT(ISERROR(SEARCH($H$9,B384)))</formula>
      <formula>$H$9</formula>
    </cfRule>
    <cfRule type="containsText" dxfId="3043" priority="4228" operator="containsText" text="$H$10">
      <formula>NOT(ISERROR(SEARCH($H$10,B384)))</formula>
      <formula>$H$10</formula>
    </cfRule>
    <cfRule type="containsText" dxfId="3042" priority="4227" operator="containsText" text="$H$11">
      <formula>NOT(ISERROR(SEARCH($H$11,B384)))</formula>
      <formula>$H$11</formula>
    </cfRule>
    <cfRule type="containsText" dxfId="3041" priority="4226" operator="containsText" text="$H$12">
      <formula>NOT(ISERROR(SEARCH($H$12,B384)))</formula>
      <formula>$H$12</formula>
    </cfRule>
    <cfRule type="containsText" dxfId="3040" priority="4225" operator="containsText" text="$H$13">
      <formula>NOT(ISERROR(SEARCH($H$13,B384)))</formula>
      <formula>$H$13</formula>
    </cfRule>
  </conditionalFormatting>
  <conditionalFormatting sqref="B385">
    <cfRule type="containsText" dxfId="3039" priority="4224" operator="containsText" text="$H$7">
      <formula>NOT(ISERROR(SEARCH($H$7,B385)))</formula>
      <formula>$H$7</formula>
    </cfRule>
    <cfRule type="containsText" dxfId="3038" priority="4223" operator="containsText" text="$H$8">
      <formula>NOT(ISERROR(SEARCH($H$8,B385)))</formula>
      <formula>$H$8</formula>
    </cfRule>
    <cfRule type="containsText" dxfId="3037" priority="4222" operator="containsText" text="$H$8">
      <formula>NOT(ISERROR(SEARCH($H$8,B385)))</formula>
      <formula>$H$8</formula>
    </cfRule>
    <cfRule type="containsText" dxfId="3036" priority="4221" operator="containsText" text="$H$9">
      <formula>NOT(ISERROR(SEARCH($H$9,B385)))</formula>
      <formula>$H$9</formula>
    </cfRule>
    <cfRule type="containsText" dxfId="3035" priority="4220" operator="containsText" text="$H$10">
      <formula>NOT(ISERROR(SEARCH($H$10,B385)))</formula>
      <formula>$H$10</formula>
    </cfRule>
    <cfRule type="containsText" dxfId="3034" priority="4219" operator="containsText" text="$H$11">
      <formula>NOT(ISERROR(SEARCH($H$11,B385)))</formula>
      <formula>$H$11</formula>
    </cfRule>
    <cfRule type="containsText" dxfId="3033" priority="4218" operator="containsText" text="$H$12">
      <formula>NOT(ISERROR(SEARCH($H$12,B385)))</formula>
      <formula>$H$12</formula>
    </cfRule>
    <cfRule type="containsText" dxfId="3032" priority="4217" operator="containsText" text="$H$13">
      <formula>NOT(ISERROR(SEARCH($H$13,B385)))</formula>
      <formula>$H$13</formula>
    </cfRule>
  </conditionalFormatting>
  <conditionalFormatting sqref="B385">
    <cfRule type="containsText" dxfId="3031" priority="4216" operator="containsText" text="$H$7">
      <formula>NOT(ISERROR(SEARCH($H$7,B385)))</formula>
      <formula>$H$7</formula>
    </cfRule>
    <cfRule type="containsText" dxfId="3030" priority="4215" operator="containsText" text="$H$8">
      <formula>NOT(ISERROR(SEARCH($H$8,B385)))</formula>
      <formula>$H$8</formula>
    </cfRule>
    <cfRule type="containsText" dxfId="3029" priority="4214" operator="containsText" text="$H$8">
      <formula>NOT(ISERROR(SEARCH($H$8,B385)))</formula>
      <formula>$H$8</formula>
    </cfRule>
    <cfRule type="containsText" dxfId="3028" priority="4213" operator="containsText" text="$H$9">
      <formula>NOT(ISERROR(SEARCH($H$9,B385)))</formula>
      <formula>$H$9</formula>
    </cfRule>
    <cfRule type="containsText" dxfId="3027" priority="4212" operator="containsText" text="$H$10">
      <formula>NOT(ISERROR(SEARCH($H$10,B385)))</formula>
      <formula>$H$10</formula>
    </cfRule>
    <cfRule type="containsText" dxfId="3026" priority="4211" operator="containsText" text="$H$11">
      <formula>NOT(ISERROR(SEARCH($H$11,B385)))</formula>
      <formula>$H$11</formula>
    </cfRule>
    <cfRule type="containsText" dxfId="3025" priority="4210" operator="containsText" text="$H$12">
      <formula>NOT(ISERROR(SEARCH($H$12,B385)))</formula>
      <formula>$H$12</formula>
    </cfRule>
    <cfRule type="containsText" dxfId="3024" priority="4209" operator="containsText" text="$H$13">
      <formula>NOT(ISERROR(SEARCH($H$13,B385)))</formula>
      <formula>$H$13</formula>
    </cfRule>
  </conditionalFormatting>
  <conditionalFormatting sqref="B387">
    <cfRule type="containsText" dxfId="3023" priority="4208" operator="containsText" text="$H$7">
      <formula>NOT(ISERROR(SEARCH($H$7,B387)))</formula>
      <formula>$H$7</formula>
    </cfRule>
    <cfRule type="containsText" dxfId="3022" priority="4207" operator="containsText" text="$H$8">
      <formula>NOT(ISERROR(SEARCH($H$8,B387)))</formula>
      <formula>$H$8</formula>
    </cfRule>
    <cfRule type="containsText" dxfId="3021" priority="4206" operator="containsText" text="$H$8">
      <formula>NOT(ISERROR(SEARCH($H$8,B387)))</formula>
      <formula>$H$8</formula>
    </cfRule>
    <cfRule type="containsText" dxfId="3020" priority="4205" operator="containsText" text="$H$9">
      <formula>NOT(ISERROR(SEARCH($H$9,B387)))</formula>
      <formula>$H$9</formula>
    </cfRule>
    <cfRule type="containsText" dxfId="3019" priority="4204" operator="containsText" text="$H$10">
      <formula>NOT(ISERROR(SEARCH($H$10,B387)))</formula>
      <formula>$H$10</formula>
    </cfRule>
    <cfRule type="containsText" dxfId="3018" priority="4203" operator="containsText" text="$H$11">
      <formula>NOT(ISERROR(SEARCH($H$11,B387)))</formula>
      <formula>$H$11</formula>
    </cfRule>
    <cfRule type="containsText" dxfId="3017" priority="4202" operator="containsText" text="$H$12">
      <formula>NOT(ISERROR(SEARCH($H$12,B387)))</formula>
      <formula>$H$12</formula>
    </cfRule>
    <cfRule type="containsText" dxfId="3016" priority="4201" operator="containsText" text="$H$13">
      <formula>NOT(ISERROR(SEARCH($H$13,B387)))</formula>
      <formula>$H$13</formula>
    </cfRule>
  </conditionalFormatting>
  <conditionalFormatting sqref="B387">
    <cfRule type="containsText" dxfId="3015" priority="4200" operator="containsText" text="$H$7">
      <formula>NOT(ISERROR(SEARCH($H$7,B387)))</formula>
      <formula>$H$7</formula>
    </cfRule>
    <cfRule type="containsText" dxfId="3014" priority="4199" operator="containsText" text="$H$8">
      <formula>NOT(ISERROR(SEARCH($H$8,B387)))</formula>
      <formula>$H$8</formula>
    </cfRule>
    <cfRule type="containsText" dxfId="3013" priority="4198" operator="containsText" text="$H$8">
      <formula>NOT(ISERROR(SEARCH($H$8,B387)))</formula>
      <formula>$H$8</formula>
    </cfRule>
    <cfRule type="containsText" dxfId="3012" priority="4197" operator="containsText" text="$H$9">
      <formula>NOT(ISERROR(SEARCH($H$9,B387)))</formula>
      <formula>$H$9</formula>
    </cfRule>
    <cfRule type="containsText" dxfId="3011" priority="4196" operator="containsText" text="$H$10">
      <formula>NOT(ISERROR(SEARCH($H$10,B387)))</formula>
      <formula>$H$10</formula>
    </cfRule>
    <cfRule type="containsText" dxfId="3010" priority="4195" operator="containsText" text="$H$11">
      <formula>NOT(ISERROR(SEARCH($H$11,B387)))</formula>
      <formula>$H$11</formula>
    </cfRule>
    <cfRule type="containsText" dxfId="3009" priority="4194" operator="containsText" text="$H$12">
      <formula>NOT(ISERROR(SEARCH($H$12,B387)))</formula>
      <formula>$H$12</formula>
    </cfRule>
    <cfRule type="containsText" dxfId="3008" priority="4193" operator="containsText" text="$H$13">
      <formula>NOT(ISERROR(SEARCH($H$13,B387)))</formula>
      <formula>$H$13</formula>
    </cfRule>
  </conditionalFormatting>
  <conditionalFormatting sqref="B389">
    <cfRule type="containsText" dxfId="3007" priority="4192" operator="containsText" text="$H$7">
      <formula>NOT(ISERROR(SEARCH($H$7,B389)))</formula>
      <formula>$H$7</formula>
    </cfRule>
    <cfRule type="containsText" dxfId="3006" priority="4191" operator="containsText" text="$H$8">
      <formula>NOT(ISERROR(SEARCH($H$8,B389)))</formula>
      <formula>$H$8</formula>
    </cfRule>
    <cfRule type="containsText" dxfId="3005" priority="4190" operator="containsText" text="$H$8">
      <formula>NOT(ISERROR(SEARCH($H$8,B389)))</formula>
      <formula>$H$8</formula>
    </cfRule>
    <cfRule type="containsText" dxfId="3004" priority="4189" operator="containsText" text="$H$9">
      <formula>NOT(ISERROR(SEARCH($H$9,B389)))</formula>
      <formula>$H$9</formula>
    </cfRule>
    <cfRule type="containsText" dxfId="3003" priority="4188" operator="containsText" text="$H$10">
      <formula>NOT(ISERROR(SEARCH($H$10,B389)))</formula>
      <formula>$H$10</formula>
    </cfRule>
    <cfRule type="containsText" dxfId="3002" priority="4187" operator="containsText" text="$H$11">
      <formula>NOT(ISERROR(SEARCH($H$11,B389)))</formula>
      <formula>$H$11</formula>
    </cfRule>
    <cfRule type="containsText" dxfId="3001" priority="4186" operator="containsText" text="$H$12">
      <formula>NOT(ISERROR(SEARCH($H$12,B389)))</formula>
      <formula>$H$12</formula>
    </cfRule>
    <cfRule type="containsText" dxfId="3000" priority="4185" operator="containsText" text="$H$13">
      <formula>NOT(ISERROR(SEARCH($H$13,B389)))</formula>
      <formula>$H$13</formula>
    </cfRule>
  </conditionalFormatting>
  <conditionalFormatting sqref="B389">
    <cfRule type="containsText" dxfId="2999" priority="4184" operator="containsText" text="$H$7">
      <formula>NOT(ISERROR(SEARCH($H$7,B389)))</formula>
      <formula>$H$7</formula>
    </cfRule>
    <cfRule type="containsText" dxfId="2998" priority="4183" operator="containsText" text="$H$8">
      <formula>NOT(ISERROR(SEARCH($H$8,B389)))</formula>
      <formula>$H$8</formula>
    </cfRule>
    <cfRule type="containsText" dxfId="2997" priority="4182" operator="containsText" text="$H$8">
      <formula>NOT(ISERROR(SEARCH($H$8,B389)))</formula>
      <formula>$H$8</formula>
    </cfRule>
    <cfRule type="containsText" dxfId="2996" priority="4181" operator="containsText" text="$H$9">
      <formula>NOT(ISERROR(SEARCH($H$9,B389)))</formula>
      <formula>$H$9</formula>
    </cfRule>
    <cfRule type="containsText" dxfId="2995" priority="4180" operator="containsText" text="$H$10">
      <formula>NOT(ISERROR(SEARCH($H$10,B389)))</formula>
      <formula>$H$10</formula>
    </cfRule>
    <cfRule type="containsText" dxfId="2994" priority="4179" operator="containsText" text="$H$11">
      <formula>NOT(ISERROR(SEARCH($H$11,B389)))</formula>
      <formula>$H$11</formula>
    </cfRule>
    <cfRule type="containsText" dxfId="2993" priority="4178" operator="containsText" text="$H$12">
      <formula>NOT(ISERROR(SEARCH($H$12,B389)))</formula>
      <formula>$H$12</formula>
    </cfRule>
    <cfRule type="containsText" dxfId="2992" priority="4177" operator="containsText" text="$H$13">
      <formula>NOT(ISERROR(SEARCH($H$13,B389)))</formula>
      <formula>$H$13</formula>
    </cfRule>
  </conditionalFormatting>
  <conditionalFormatting sqref="B391">
    <cfRule type="containsText" dxfId="2991" priority="4176" operator="containsText" text="$H$7">
      <formula>NOT(ISERROR(SEARCH($H$7,B391)))</formula>
      <formula>$H$7</formula>
    </cfRule>
    <cfRule type="containsText" dxfId="2990" priority="4175" operator="containsText" text="$H$8">
      <formula>NOT(ISERROR(SEARCH($H$8,B391)))</formula>
      <formula>$H$8</formula>
    </cfRule>
    <cfRule type="containsText" dxfId="2989" priority="4174" operator="containsText" text="$H$8">
      <formula>NOT(ISERROR(SEARCH($H$8,B391)))</formula>
      <formula>$H$8</formula>
    </cfRule>
    <cfRule type="containsText" dxfId="2988" priority="4173" operator="containsText" text="$H$9">
      <formula>NOT(ISERROR(SEARCH($H$9,B391)))</formula>
      <formula>$H$9</formula>
    </cfRule>
    <cfRule type="containsText" dxfId="2987" priority="4172" operator="containsText" text="$H$10">
      <formula>NOT(ISERROR(SEARCH($H$10,B391)))</formula>
      <formula>$H$10</formula>
    </cfRule>
    <cfRule type="containsText" dxfId="2986" priority="4171" operator="containsText" text="$H$11">
      <formula>NOT(ISERROR(SEARCH($H$11,B391)))</formula>
      <formula>$H$11</formula>
    </cfRule>
    <cfRule type="containsText" dxfId="2985" priority="4170" operator="containsText" text="$H$12">
      <formula>NOT(ISERROR(SEARCH($H$12,B391)))</formula>
      <formula>$H$12</formula>
    </cfRule>
    <cfRule type="containsText" dxfId="2984" priority="4169" operator="containsText" text="$H$13">
      <formula>NOT(ISERROR(SEARCH($H$13,B391)))</formula>
      <formula>$H$13</formula>
    </cfRule>
  </conditionalFormatting>
  <conditionalFormatting sqref="B391">
    <cfRule type="containsText" dxfId="2983" priority="4168" operator="containsText" text="$H$7">
      <formula>NOT(ISERROR(SEARCH($H$7,B391)))</formula>
      <formula>$H$7</formula>
    </cfRule>
    <cfRule type="containsText" dxfId="2982" priority="4167" operator="containsText" text="$H$8">
      <formula>NOT(ISERROR(SEARCH($H$8,B391)))</formula>
      <formula>$H$8</formula>
    </cfRule>
    <cfRule type="containsText" dxfId="2981" priority="4166" operator="containsText" text="$H$8">
      <formula>NOT(ISERROR(SEARCH($H$8,B391)))</formula>
      <formula>$H$8</formula>
    </cfRule>
    <cfRule type="containsText" dxfId="2980" priority="4165" operator="containsText" text="$H$9">
      <formula>NOT(ISERROR(SEARCH($H$9,B391)))</formula>
      <formula>$H$9</formula>
    </cfRule>
    <cfRule type="containsText" dxfId="2979" priority="4164" operator="containsText" text="$H$10">
      <formula>NOT(ISERROR(SEARCH($H$10,B391)))</formula>
      <formula>$H$10</formula>
    </cfRule>
    <cfRule type="containsText" dxfId="2978" priority="4163" operator="containsText" text="$H$11">
      <formula>NOT(ISERROR(SEARCH($H$11,B391)))</formula>
      <formula>$H$11</formula>
    </cfRule>
    <cfRule type="containsText" dxfId="2977" priority="4162" operator="containsText" text="$H$12">
      <formula>NOT(ISERROR(SEARCH($H$12,B391)))</formula>
      <formula>$H$12</formula>
    </cfRule>
    <cfRule type="containsText" dxfId="2976" priority="4161" operator="containsText" text="$H$13">
      <formula>NOT(ISERROR(SEARCH($H$13,B391)))</formula>
      <formula>$H$13</formula>
    </cfRule>
  </conditionalFormatting>
  <conditionalFormatting sqref="F374 F380 F378 F376">
    <cfRule type="containsText" dxfId="2975" priority="4160" operator="containsText" text="$H$7">
      <formula>NOT(ISERROR(SEARCH($H$7,F374)))</formula>
      <formula>$H$7</formula>
    </cfRule>
    <cfRule type="containsText" dxfId="2974" priority="4159" operator="containsText" text="$H$8">
      <formula>NOT(ISERROR(SEARCH($H$8,F374)))</formula>
      <formula>$H$8</formula>
    </cfRule>
    <cfRule type="containsText" dxfId="2973" priority="4158" operator="containsText" text="$H$8">
      <formula>NOT(ISERROR(SEARCH($H$8,F374)))</formula>
      <formula>$H$8</formula>
    </cfRule>
    <cfRule type="containsText" dxfId="2972" priority="4157" operator="containsText" text="$H$9">
      <formula>NOT(ISERROR(SEARCH($H$9,F374)))</formula>
      <formula>$H$9</formula>
    </cfRule>
    <cfRule type="containsText" dxfId="2971" priority="4156" operator="containsText" text="$H$10">
      <formula>NOT(ISERROR(SEARCH($H$10,F374)))</formula>
      <formula>$H$10</formula>
    </cfRule>
    <cfRule type="containsText" dxfId="2970" priority="4155" operator="containsText" text="$H$11">
      <formula>NOT(ISERROR(SEARCH($H$11,F374)))</formula>
      <formula>$H$11</formula>
    </cfRule>
    <cfRule type="containsText" dxfId="2969" priority="4154" operator="containsText" text="$H$12">
      <formula>NOT(ISERROR(SEARCH($H$12,F374)))</formula>
      <formula>$H$12</formula>
    </cfRule>
    <cfRule type="containsText" dxfId="2968" priority="4153" operator="containsText" text="$H$13">
      <formula>NOT(ISERROR(SEARCH($H$13,F374)))</formula>
      <formula>$H$13</formula>
    </cfRule>
  </conditionalFormatting>
  <conditionalFormatting sqref="F374 F380 F378 F376">
    <cfRule type="containsText" dxfId="2967" priority="4152" operator="containsText" text="$H$7">
      <formula>NOT(ISERROR(SEARCH($H$7,F374)))</formula>
      <formula>$H$7</formula>
    </cfRule>
    <cfRule type="containsText" dxfId="2966" priority="4151" operator="containsText" text="$H$8">
      <formula>NOT(ISERROR(SEARCH($H$8,F374)))</formula>
      <formula>$H$8</formula>
    </cfRule>
    <cfRule type="containsText" dxfId="2965" priority="4150" operator="containsText" text="$H$8">
      <formula>NOT(ISERROR(SEARCH($H$8,F374)))</formula>
      <formula>$H$8</formula>
    </cfRule>
    <cfRule type="containsText" dxfId="2964" priority="4149" operator="containsText" text="$H$9">
      <formula>NOT(ISERROR(SEARCH($H$9,F374)))</formula>
      <formula>$H$9</formula>
    </cfRule>
    <cfRule type="containsText" dxfId="2963" priority="4148" operator="containsText" text="$H$10">
      <formula>NOT(ISERROR(SEARCH($H$10,F374)))</formula>
      <formula>$H$10</formula>
    </cfRule>
    <cfRule type="containsText" dxfId="2962" priority="4147" operator="containsText" text="$H$11">
      <formula>NOT(ISERROR(SEARCH($H$11,F374)))</formula>
      <formula>$H$11</formula>
    </cfRule>
    <cfRule type="containsText" dxfId="2961" priority="4146" operator="containsText" text="$H$12">
      <formula>NOT(ISERROR(SEARCH($H$12,F374)))</formula>
      <formula>$H$12</formula>
    </cfRule>
    <cfRule type="containsText" dxfId="2960" priority="4145" operator="containsText" text="$H$13">
      <formula>NOT(ISERROR(SEARCH($H$13,F374)))</formula>
      <formula>$H$13</formula>
    </cfRule>
  </conditionalFormatting>
  <conditionalFormatting sqref="F375">
    <cfRule type="containsText" dxfId="2959" priority="4144" operator="containsText" text="$H$7">
      <formula>NOT(ISERROR(SEARCH($H$7,F375)))</formula>
      <formula>$H$7</formula>
    </cfRule>
    <cfRule type="containsText" dxfId="2958" priority="4143" operator="containsText" text="$H$8">
      <formula>NOT(ISERROR(SEARCH($H$8,F375)))</formula>
      <formula>$H$8</formula>
    </cfRule>
    <cfRule type="containsText" dxfId="2957" priority="4142" operator="containsText" text="$H$8">
      <formula>NOT(ISERROR(SEARCH($H$8,F375)))</formula>
      <formula>$H$8</formula>
    </cfRule>
    <cfRule type="containsText" dxfId="2956" priority="4141" operator="containsText" text="$H$9">
      <formula>NOT(ISERROR(SEARCH($H$9,F375)))</formula>
      <formula>$H$9</formula>
    </cfRule>
    <cfRule type="containsText" dxfId="2955" priority="4140" operator="containsText" text="$H$10">
      <formula>NOT(ISERROR(SEARCH($H$10,F375)))</formula>
      <formula>$H$10</formula>
    </cfRule>
    <cfRule type="containsText" dxfId="2954" priority="4139" operator="containsText" text="$H$11">
      <formula>NOT(ISERROR(SEARCH($H$11,F375)))</formula>
      <formula>$H$11</formula>
    </cfRule>
    <cfRule type="containsText" dxfId="2953" priority="4138" operator="containsText" text="$H$12">
      <formula>NOT(ISERROR(SEARCH($H$12,F375)))</formula>
      <formula>$H$12</formula>
    </cfRule>
    <cfRule type="containsText" dxfId="2952" priority="4137" operator="containsText" text="$H$13">
      <formula>NOT(ISERROR(SEARCH($H$13,F375)))</formula>
      <formula>$H$13</formula>
    </cfRule>
  </conditionalFormatting>
  <conditionalFormatting sqref="F375">
    <cfRule type="containsText" dxfId="2951" priority="4136" operator="containsText" text="$H$7">
      <formula>NOT(ISERROR(SEARCH($H$7,F375)))</formula>
      <formula>$H$7</formula>
    </cfRule>
    <cfRule type="containsText" dxfId="2950" priority="4135" operator="containsText" text="$H$8">
      <formula>NOT(ISERROR(SEARCH($H$8,F375)))</formula>
      <formula>$H$8</formula>
    </cfRule>
    <cfRule type="containsText" dxfId="2949" priority="4134" operator="containsText" text="$H$8">
      <formula>NOT(ISERROR(SEARCH($H$8,F375)))</formula>
      <formula>$H$8</formula>
    </cfRule>
    <cfRule type="containsText" dxfId="2948" priority="4133" operator="containsText" text="$H$9">
      <formula>NOT(ISERROR(SEARCH($H$9,F375)))</formula>
      <formula>$H$9</formula>
    </cfRule>
    <cfRule type="containsText" dxfId="2947" priority="4132" operator="containsText" text="$H$10">
      <formula>NOT(ISERROR(SEARCH($H$10,F375)))</formula>
      <formula>$H$10</formula>
    </cfRule>
    <cfRule type="containsText" dxfId="2946" priority="4131" operator="containsText" text="$H$11">
      <formula>NOT(ISERROR(SEARCH($H$11,F375)))</formula>
      <formula>$H$11</formula>
    </cfRule>
    <cfRule type="containsText" dxfId="2945" priority="4130" operator="containsText" text="$H$12">
      <formula>NOT(ISERROR(SEARCH($H$12,F375)))</formula>
      <formula>$H$12</formula>
    </cfRule>
    <cfRule type="containsText" dxfId="2944" priority="4129" operator="containsText" text="$H$13">
      <formula>NOT(ISERROR(SEARCH($H$13,F375)))</formula>
      <formula>$H$13</formula>
    </cfRule>
  </conditionalFormatting>
  <conditionalFormatting sqref="F377">
    <cfRule type="containsText" dxfId="2943" priority="4128" operator="containsText" text="$H$7">
      <formula>NOT(ISERROR(SEARCH($H$7,F377)))</formula>
      <formula>$H$7</formula>
    </cfRule>
    <cfRule type="containsText" dxfId="2942" priority="4127" operator="containsText" text="$H$8">
      <formula>NOT(ISERROR(SEARCH($H$8,F377)))</formula>
      <formula>$H$8</formula>
    </cfRule>
    <cfRule type="containsText" dxfId="2941" priority="4126" operator="containsText" text="$H$8">
      <formula>NOT(ISERROR(SEARCH($H$8,F377)))</formula>
      <formula>$H$8</formula>
    </cfRule>
    <cfRule type="containsText" dxfId="2940" priority="4125" operator="containsText" text="$H$9">
      <formula>NOT(ISERROR(SEARCH($H$9,F377)))</formula>
      <formula>$H$9</formula>
    </cfRule>
    <cfRule type="containsText" dxfId="2939" priority="4124" operator="containsText" text="$H$10">
      <formula>NOT(ISERROR(SEARCH($H$10,F377)))</formula>
      <formula>$H$10</formula>
    </cfRule>
    <cfRule type="containsText" dxfId="2938" priority="4123" operator="containsText" text="$H$11">
      <formula>NOT(ISERROR(SEARCH($H$11,F377)))</formula>
      <formula>$H$11</formula>
    </cfRule>
    <cfRule type="containsText" dxfId="2937" priority="4122" operator="containsText" text="$H$12">
      <formula>NOT(ISERROR(SEARCH($H$12,F377)))</formula>
      <formula>$H$12</formula>
    </cfRule>
    <cfRule type="containsText" dxfId="2936" priority="4121" operator="containsText" text="$H$13">
      <formula>NOT(ISERROR(SEARCH($H$13,F377)))</formula>
      <formula>$H$13</formula>
    </cfRule>
  </conditionalFormatting>
  <conditionalFormatting sqref="F377">
    <cfRule type="containsText" dxfId="2935" priority="4120" operator="containsText" text="$H$7">
      <formula>NOT(ISERROR(SEARCH($H$7,F377)))</formula>
      <formula>$H$7</formula>
    </cfRule>
    <cfRule type="containsText" dxfId="2934" priority="4119" operator="containsText" text="$H$8">
      <formula>NOT(ISERROR(SEARCH($H$8,F377)))</formula>
      <formula>$H$8</formula>
    </cfRule>
    <cfRule type="containsText" dxfId="2933" priority="4118" operator="containsText" text="$H$8">
      <formula>NOT(ISERROR(SEARCH($H$8,F377)))</formula>
      <formula>$H$8</formula>
    </cfRule>
    <cfRule type="containsText" dxfId="2932" priority="4117" operator="containsText" text="$H$9">
      <formula>NOT(ISERROR(SEARCH($H$9,F377)))</formula>
      <formula>$H$9</formula>
    </cfRule>
    <cfRule type="containsText" dxfId="2931" priority="4116" operator="containsText" text="$H$10">
      <formula>NOT(ISERROR(SEARCH($H$10,F377)))</formula>
      <formula>$H$10</formula>
    </cfRule>
    <cfRule type="containsText" dxfId="2930" priority="4115" operator="containsText" text="$H$11">
      <formula>NOT(ISERROR(SEARCH($H$11,F377)))</formula>
      <formula>$H$11</formula>
    </cfRule>
    <cfRule type="containsText" dxfId="2929" priority="4114" operator="containsText" text="$H$12">
      <formula>NOT(ISERROR(SEARCH($H$12,F377)))</formula>
      <formula>$H$12</formula>
    </cfRule>
    <cfRule type="containsText" dxfId="2928" priority="4113" operator="containsText" text="$H$13">
      <formula>NOT(ISERROR(SEARCH($H$13,F377)))</formula>
      <formula>$H$13</formula>
    </cfRule>
  </conditionalFormatting>
  <conditionalFormatting sqref="F379">
    <cfRule type="containsText" dxfId="2927" priority="4112" operator="containsText" text="$H$7">
      <formula>NOT(ISERROR(SEARCH($H$7,F379)))</formula>
      <formula>$H$7</formula>
    </cfRule>
    <cfRule type="containsText" dxfId="2926" priority="4111" operator="containsText" text="$H$8">
      <formula>NOT(ISERROR(SEARCH($H$8,F379)))</formula>
      <formula>$H$8</formula>
    </cfRule>
    <cfRule type="containsText" dxfId="2925" priority="4110" operator="containsText" text="$H$8">
      <formula>NOT(ISERROR(SEARCH($H$8,F379)))</formula>
      <formula>$H$8</formula>
    </cfRule>
    <cfRule type="containsText" dxfId="2924" priority="4109" operator="containsText" text="$H$9">
      <formula>NOT(ISERROR(SEARCH($H$9,F379)))</formula>
      <formula>$H$9</formula>
    </cfRule>
    <cfRule type="containsText" dxfId="2923" priority="4108" operator="containsText" text="$H$10">
      <formula>NOT(ISERROR(SEARCH($H$10,F379)))</formula>
      <formula>$H$10</formula>
    </cfRule>
    <cfRule type="containsText" dxfId="2922" priority="4107" operator="containsText" text="$H$11">
      <formula>NOT(ISERROR(SEARCH($H$11,F379)))</formula>
      <formula>$H$11</formula>
    </cfRule>
    <cfRule type="containsText" dxfId="2921" priority="4106" operator="containsText" text="$H$12">
      <formula>NOT(ISERROR(SEARCH($H$12,F379)))</formula>
      <formula>$H$12</formula>
    </cfRule>
    <cfRule type="containsText" dxfId="2920" priority="4105" operator="containsText" text="$H$13">
      <formula>NOT(ISERROR(SEARCH($H$13,F379)))</formula>
      <formula>$H$13</formula>
    </cfRule>
  </conditionalFormatting>
  <conditionalFormatting sqref="F379">
    <cfRule type="containsText" dxfId="2919" priority="4104" operator="containsText" text="$H$7">
      <formula>NOT(ISERROR(SEARCH($H$7,F379)))</formula>
      <formula>$H$7</formula>
    </cfRule>
    <cfRule type="containsText" dxfId="2918" priority="4103" operator="containsText" text="$H$8">
      <formula>NOT(ISERROR(SEARCH($H$8,F379)))</formula>
      <formula>$H$8</formula>
    </cfRule>
    <cfRule type="containsText" dxfId="2917" priority="4102" operator="containsText" text="$H$8">
      <formula>NOT(ISERROR(SEARCH($H$8,F379)))</formula>
      <formula>$H$8</formula>
    </cfRule>
    <cfRule type="containsText" dxfId="2916" priority="4101" operator="containsText" text="$H$9">
      <formula>NOT(ISERROR(SEARCH($H$9,F379)))</formula>
      <formula>$H$9</formula>
    </cfRule>
    <cfRule type="containsText" dxfId="2915" priority="4100" operator="containsText" text="$H$10">
      <formula>NOT(ISERROR(SEARCH($H$10,F379)))</formula>
      <formula>$H$10</formula>
    </cfRule>
    <cfRule type="containsText" dxfId="2914" priority="4099" operator="containsText" text="$H$11">
      <formula>NOT(ISERROR(SEARCH($H$11,F379)))</formula>
      <formula>$H$11</formula>
    </cfRule>
    <cfRule type="containsText" dxfId="2913" priority="4098" operator="containsText" text="$H$12">
      <formula>NOT(ISERROR(SEARCH($H$12,F379)))</formula>
      <formula>$H$12</formula>
    </cfRule>
    <cfRule type="containsText" dxfId="2912" priority="4097" operator="containsText" text="$H$13">
      <formula>NOT(ISERROR(SEARCH($H$13,F379)))</formula>
      <formula>$H$13</formula>
    </cfRule>
  </conditionalFormatting>
  <conditionalFormatting sqref="F381">
    <cfRule type="containsText" dxfId="2911" priority="4096" operator="containsText" text="$H$7">
      <formula>NOT(ISERROR(SEARCH($H$7,F381)))</formula>
      <formula>$H$7</formula>
    </cfRule>
    <cfRule type="containsText" dxfId="2910" priority="4095" operator="containsText" text="$H$8">
      <formula>NOT(ISERROR(SEARCH($H$8,F381)))</formula>
      <formula>$H$8</formula>
    </cfRule>
    <cfRule type="containsText" dxfId="2909" priority="4094" operator="containsText" text="$H$8">
      <formula>NOT(ISERROR(SEARCH($H$8,F381)))</formula>
      <formula>$H$8</formula>
    </cfRule>
    <cfRule type="containsText" dxfId="2908" priority="4093" operator="containsText" text="$H$9">
      <formula>NOT(ISERROR(SEARCH($H$9,F381)))</formula>
      <formula>$H$9</formula>
    </cfRule>
    <cfRule type="containsText" dxfId="2907" priority="4092" operator="containsText" text="$H$10">
      <formula>NOT(ISERROR(SEARCH($H$10,F381)))</formula>
      <formula>$H$10</formula>
    </cfRule>
    <cfRule type="containsText" dxfId="2906" priority="4091" operator="containsText" text="$H$11">
      <formula>NOT(ISERROR(SEARCH($H$11,F381)))</formula>
      <formula>$H$11</formula>
    </cfRule>
    <cfRule type="containsText" dxfId="2905" priority="4090" operator="containsText" text="$H$12">
      <formula>NOT(ISERROR(SEARCH($H$12,F381)))</formula>
      <formula>$H$12</formula>
    </cfRule>
    <cfRule type="containsText" dxfId="2904" priority="4089" operator="containsText" text="$H$13">
      <formula>NOT(ISERROR(SEARCH($H$13,F381)))</formula>
      <formula>$H$13</formula>
    </cfRule>
  </conditionalFormatting>
  <conditionalFormatting sqref="F381">
    <cfRule type="containsText" dxfId="2903" priority="4088" operator="containsText" text="$H$7">
      <formula>NOT(ISERROR(SEARCH($H$7,F381)))</formula>
      <formula>$H$7</formula>
    </cfRule>
    <cfRule type="containsText" dxfId="2902" priority="4087" operator="containsText" text="$H$8">
      <formula>NOT(ISERROR(SEARCH($H$8,F381)))</formula>
      <formula>$H$8</formula>
    </cfRule>
    <cfRule type="containsText" dxfId="2901" priority="4086" operator="containsText" text="$H$8">
      <formula>NOT(ISERROR(SEARCH($H$8,F381)))</formula>
      <formula>$H$8</formula>
    </cfRule>
    <cfRule type="containsText" dxfId="2900" priority="4085" operator="containsText" text="$H$9">
      <formula>NOT(ISERROR(SEARCH($H$9,F381)))</formula>
      <formula>$H$9</formula>
    </cfRule>
    <cfRule type="containsText" dxfId="2899" priority="4084" operator="containsText" text="$H$10">
      <formula>NOT(ISERROR(SEARCH($H$10,F381)))</formula>
      <formula>$H$10</formula>
    </cfRule>
    <cfRule type="containsText" dxfId="2898" priority="4083" operator="containsText" text="$H$11">
      <formula>NOT(ISERROR(SEARCH($H$11,F381)))</formula>
      <formula>$H$11</formula>
    </cfRule>
    <cfRule type="containsText" dxfId="2897" priority="4082" operator="containsText" text="$H$12">
      <formula>NOT(ISERROR(SEARCH($H$12,F381)))</formula>
      <formula>$H$12</formula>
    </cfRule>
    <cfRule type="containsText" dxfId="2896" priority="4081" operator="containsText" text="$H$13">
      <formula>NOT(ISERROR(SEARCH($H$13,F381)))</formula>
      <formula>$H$13</formula>
    </cfRule>
  </conditionalFormatting>
  <conditionalFormatting sqref="C341">
    <cfRule type="containsText" dxfId="2895" priority="4048" operator="containsText" text="$H$7">
      <formula>NOT(ISERROR(SEARCH($H$7,C341)))</formula>
      <formula>$H$7</formula>
    </cfRule>
    <cfRule type="containsText" dxfId="2894" priority="4047" operator="containsText" text="$H$8">
      <formula>NOT(ISERROR(SEARCH($H$8,C341)))</formula>
      <formula>$H$8</formula>
    </cfRule>
    <cfRule type="containsText" dxfId="2893" priority="4046" operator="containsText" text="$H$8">
      <formula>NOT(ISERROR(SEARCH($H$8,C341)))</formula>
      <formula>$H$8</formula>
    </cfRule>
    <cfRule type="containsText" dxfId="2892" priority="4045" operator="containsText" text="$H$9">
      <formula>NOT(ISERROR(SEARCH($H$9,C341)))</formula>
      <formula>$H$9</formula>
    </cfRule>
    <cfRule type="containsText" dxfId="2891" priority="4044" operator="containsText" text="$H$10">
      <formula>NOT(ISERROR(SEARCH($H$10,C341)))</formula>
      <formula>$H$10</formula>
    </cfRule>
    <cfRule type="containsText" dxfId="2890" priority="4043" operator="containsText" text="$H$11">
      <formula>NOT(ISERROR(SEARCH($H$11,C341)))</formula>
      <formula>$H$11</formula>
    </cfRule>
    <cfRule type="containsText" dxfId="2889" priority="4042" operator="containsText" text="$H$12">
      <formula>NOT(ISERROR(SEARCH($H$12,C341)))</formula>
      <formula>$H$12</formula>
    </cfRule>
    <cfRule type="containsText" dxfId="2888" priority="4041" operator="containsText" text="$H$13">
      <formula>NOT(ISERROR(SEARCH($H$13,C341)))</formula>
      <formula>$H$13</formula>
    </cfRule>
  </conditionalFormatting>
  <conditionalFormatting sqref="C341">
    <cfRule type="containsText" dxfId="2887" priority="4040" operator="containsText" text="$H$7">
      <formula>NOT(ISERROR(SEARCH($H$7,C341)))</formula>
      <formula>$H$7</formula>
    </cfRule>
    <cfRule type="containsText" dxfId="2886" priority="4039" operator="containsText" text="$H$8">
      <formula>NOT(ISERROR(SEARCH($H$8,C341)))</formula>
      <formula>$H$8</formula>
    </cfRule>
    <cfRule type="containsText" dxfId="2885" priority="4038" operator="containsText" text="$H$8">
      <formula>NOT(ISERROR(SEARCH($H$8,C341)))</formula>
      <formula>$H$8</formula>
    </cfRule>
    <cfRule type="containsText" dxfId="2884" priority="4037" operator="containsText" text="$H$9">
      <formula>NOT(ISERROR(SEARCH($H$9,C341)))</formula>
      <formula>$H$9</formula>
    </cfRule>
    <cfRule type="containsText" dxfId="2883" priority="4036" operator="containsText" text="$H$10">
      <formula>NOT(ISERROR(SEARCH($H$10,C341)))</formula>
      <formula>$H$10</formula>
    </cfRule>
    <cfRule type="containsText" dxfId="2882" priority="4035" operator="containsText" text="$H$11">
      <formula>NOT(ISERROR(SEARCH($H$11,C341)))</formula>
      <formula>$H$11</formula>
    </cfRule>
    <cfRule type="containsText" dxfId="2881" priority="4034" operator="containsText" text="$H$12">
      <formula>NOT(ISERROR(SEARCH($H$12,C341)))</formula>
      <formula>$H$12</formula>
    </cfRule>
    <cfRule type="containsText" dxfId="2880" priority="4033" operator="containsText" text="$H$13">
      <formula>NOT(ISERROR(SEARCH($H$13,C341)))</formula>
      <formula>$H$13</formula>
    </cfRule>
  </conditionalFormatting>
  <conditionalFormatting sqref="C343">
    <cfRule type="containsText" dxfId="2879" priority="4032" operator="containsText" text="$H$7">
      <formula>NOT(ISERROR(SEARCH($H$7,C343)))</formula>
      <formula>$H$7</formula>
    </cfRule>
    <cfRule type="containsText" dxfId="2878" priority="4031" operator="containsText" text="$H$8">
      <formula>NOT(ISERROR(SEARCH($H$8,C343)))</formula>
      <formula>$H$8</formula>
    </cfRule>
    <cfRule type="containsText" dxfId="2877" priority="4030" operator="containsText" text="$H$8">
      <formula>NOT(ISERROR(SEARCH($H$8,C343)))</formula>
      <formula>$H$8</formula>
    </cfRule>
    <cfRule type="containsText" dxfId="2876" priority="4029" operator="containsText" text="$H$9">
      <formula>NOT(ISERROR(SEARCH($H$9,C343)))</formula>
      <formula>$H$9</formula>
    </cfRule>
    <cfRule type="containsText" dxfId="2875" priority="4028" operator="containsText" text="$H$10">
      <formula>NOT(ISERROR(SEARCH($H$10,C343)))</formula>
      <formula>$H$10</formula>
    </cfRule>
    <cfRule type="containsText" dxfId="2874" priority="4027" operator="containsText" text="$H$11">
      <formula>NOT(ISERROR(SEARCH($H$11,C343)))</formula>
      <formula>$H$11</formula>
    </cfRule>
    <cfRule type="containsText" dxfId="2873" priority="4026" operator="containsText" text="$H$12">
      <formula>NOT(ISERROR(SEARCH($H$12,C343)))</formula>
      <formula>$H$12</formula>
    </cfRule>
    <cfRule type="containsText" dxfId="2872" priority="4025" operator="containsText" text="$H$13">
      <formula>NOT(ISERROR(SEARCH($H$13,C343)))</formula>
      <formula>$H$13</formula>
    </cfRule>
  </conditionalFormatting>
  <conditionalFormatting sqref="C343">
    <cfRule type="containsText" dxfId="2871" priority="4024" operator="containsText" text="$H$7">
      <formula>NOT(ISERROR(SEARCH($H$7,C343)))</formula>
      <formula>$H$7</formula>
    </cfRule>
    <cfRule type="containsText" dxfId="2870" priority="4023" operator="containsText" text="$H$8">
      <formula>NOT(ISERROR(SEARCH($H$8,C343)))</formula>
      <formula>$H$8</formula>
    </cfRule>
    <cfRule type="containsText" dxfId="2869" priority="4022" operator="containsText" text="$H$8">
      <formula>NOT(ISERROR(SEARCH($H$8,C343)))</formula>
      <formula>$H$8</formula>
    </cfRule>
    <cfRule type="containsText" dxfId="2868" priority="4021" operator="containsText" text="$H$9">
      <formula>NOT(ISERROR(SEARCH($H$9,C343)))</formula>
      <formula>$H$9</formula>
    </cfRule>
    <cfRule type="containsText" dxfId="2867" priority="4020" operator="containsText" text="$H$10">
      <formula>NOT(ISERROR(SEARCH($H$10,C343)))</formula>
      <formula>$H$10</formula>
    </cfRule>
    <cfRule type="containsText" dxfId="2866" priority="4019" operator="containsText" text="$H$11">
      <formula>NOT(ISERROR(SEARCH($H$11,C343)))</formula>
      <formula>$H$11</formula>
    </cfRule>
    <cfRule type="containsText" dxfId="2865" priority="4018" operator="containsText" text="$H$12">
      <formula>NOT(ISERROR(SEARCH($H$12,C343)))</formula>
      <formula>$H$12</formula>
    </cfRule>
    <cfRule type="containsText" dxfId="2864" priority="4017" operator="containsText" text="$H$13">
      <formula>NOT(ISERROR(SEARCH($H$13,C343)))</formula>
      <formula>$H$13</formula>
    </cfRule>
  </conditionalFormatting>
  <conditionalFormatting sqref="C345">
    <cfRule type="containsText" dxfId="2863" priority="4016" operator="containsText" text="$H$7">
      <formula>NOT(ISERROR(SEARCH($H$7,C345)))</formula>
      <formula>$H$7</formula>
    </cfRule>
    <cfRule type="containsText" dxfId="2862" priority="4015" operator="containsText" text="$H$8">
      <formula>NOT(ISERROR(SEARCH($H$8,C345)))</formula>
      <formula>$H$8</formula>
    </cfRule>
    <cfRule type="containsText" dxfId="2861" priority="4014" operator="containsText" text="$H$8">
      <formula>NOT(ISERROR(SEARCH($H$8,C345)))</formula>
      <formula>$H$8</formula>
    </cfRule>
    <cfRule type="containsText" dxfId="2860" priority="4013" operator="containsText" text="$H$9">
      <formula>NOT(ISERROR(SEARCH($H$9,C345)))</formula>
      <formula>$H$9</formula>
    </cfRule>
    <cfRule type="containsText" dxfId="2859" priority="4012" operator="containsText" text="$H$10">
      <formula>NOT(ISERROR(SEARCH($H$10,C345)))</formula>
      <formula>$H$10</formula>
    </cfRule>
    <cfRule type="containsText" dxfId="2858" priority="4011" operator="containsText" text="$H$11">
      <formula>NOT(ISERROR(SEARCH($H$11,C345)))</formula>
      <formula>$H$11</formula>
    </cfRule>
    <cfRule type="containsText" dxfId="2857" priority="4010" operator="containsText" text="$H$12">
      <formula>NOT(ISERROR(SEARCH($H$12,C345)))</formula>
      <formula>$H$12</formula>
    </cfRule>
    <cfRule type="containsText" dxfId="2856" priority="4009" operator="containsText" text="$H$13">
      <formula>NOT(ISERROR(SEARCH($H$13,C345)))</formula>
      <formula>$H$13</formula>
    </cfRule>
  </conditionalFormatting>
  <conditionalFormatting sqref="C345">
    <cfRule type="containsText" dxfId="2855" priority="4008" operator="containsText" text="$H$7">
      <formula>NOT(ISERROR(SEARCH($H$7,C345)))</formula>
      <formula>$H$7</formula>
    </cfRule>
    <cfRule type="containsText" dxfId="2854" priority="4007" operator="containsText" text="$H$8">
      <formula>NOT(ISERROR(SEARCH($H$8,C345)))</formula>
      <formula>$H$8</formula>
    </cfRule>
    <cfRule type="containsText" dxfId="2853" priority="4006" operator="containsText" text="$H$8">
      <formula>NOT(ISERROR(SEARCH($H$8,C345)))</formula>
      <formula>$H$8</formula>
    </cfRule>
    <cfRule type="containsText" dxfId="2852" priority="4005" operator="containsText" text="$H$9">
      <formula>NOT(ISERROR(SEARCH($H$9,C345)))</formula>
      <formula>$H$9</formula>
    </cfRule>
    <cfRule type="containsText" dxfId="2851" priority="4004" operator="containsText" text="$H$10">
      <formula>NOT(ISERROR(SEARCH($H$10,C345)))</formula>
      <formula>$H$10</formula>
    </cfRule>
    <cfRule type="containsText" dxfId="2850" priority="4003" operator="containsText" text="$H$11">
      <formula>NOT(ISERROR(SEARCH($H$11,C345)))</formula>
      <formula>$H$11</formula>
    </cfRule>
    <cfRule type="containsText" dxfId="2849" priority="4002" operator="containsText" text="$H$12">
      <formula>NOT(ISERROR(SEARCH($H$12,C345)))</formula>
      <formula>$H$12</formula>
    </cfRule>
    <cfRule type="containsText" dxfId="2848" priority="4001" operator="containsText" text="$H$13">
      <formula>NOT(ISERROR(SEARCH($H$13,C345)))</formula>
      <formula>$H$13</formula>
    </cfRule>
  </conditionalFormatting>
  <conditionalFormatting sqref="E339">
    <cfRule type="containsText" dxfId="2847" priority="4000" operator="containsText" text="$H$7">
      <formula>NOT(ISERROR(SEARCH($H$7,E339)))</formula>
      <formula>$H$7</formula>
    </cfRule>
    <cfRule type="containsText" dxfId="2846" priority="3999" operator="containsText" text="$H$8">
      <formula>NOT(ISERROR(SEARCH($H$8,E339)))</formula>
      <formula>$H$8</formula>
    </cfRule>
    <cfRule type="containsText" dxfId="2845" priority="3998" operator="containsText" text="$H$8">
      <formula>NOT(ISERROR(SEARCH($H$8,E339)))</formula>
      <formula>$H$8</formula>
    </cfRule>
    <cfRule type="containsText" dxfId="2844" priority="3997" operator="containsText" text="$H$9">
      <formula>NOT(ISERROR(SEARCH($H$9,E339)))</formula>
      <formula>$H$9</formula>
    </cfRule>
    <cfRule type="containsText" dxfId="2843" priority="3996" operator="containsText" text="$H$10">
      <formula>NOT(ISERROR(SEARCH($H$10,E339)))</formula>
      <formula>$H$10</formula>
    </cfRule>
    <cfRule type="containsText" dxfId="2842" priority="3995" operator="containsText" text="$H$11">
      <formula>NOT(ISERROR(SEARCH($H$11,E339)))</formula>
      <formula>$H$11</formula>
    </cfRule>
    <cfRule type="containsText" dxfId="2841" priority="3994" operator="containsText" text="$H$12">
      <formula>NOT(ISERROR(SEARCH($H$12,E339)))</formula>
      <formula>$H$12</formula>
    </cfRule>
    <cfRule type="containsText" dxfId="2840" priority="3993" operator="containsText" text="$H$13">
      <formula>NOT(ISERROR(SEARCH($H$13,E339)))</formula>
      <formula>$H$13</formula>
    </cfRule>
  </conditionalFormatting>
  <conditionalFormatting sqref="E339">
    <cfRule type="containsText" dxfId="2839" priority="3992" operator="containsText" text="$H$7">
      <formula>NOT(ISERROR(SEARCH($H$7,E339)))</formula>
      <formula>$H$7</formula>
    </cfRule>
    <cfRule type="containsText" dxfId="2838" priority="3991" operator="containsText" text="$H$8">
      <formula>NOT(ISERROR(SEARCH($H$8,E339)))</formula>
      <formula>$H$8</formula>
    </cfRule>
    <cfRule type="containsText" dxfId="2837" priority="3990" operator="containsText" text="$H$8">
      <formula>NOT(ISERROR(SEARCH($H$8,E339)))</formula>
      <formula>$H$8</formula>
    </cfRule>
    <cfRule type="containsText" dxfId="2836" priority="3989" operator="containsText" text="$H$9">
      <formula>NOT(ISERROR(SEARCH($H$9,E339)))</formula>
      <formula>$H$9</formula>
    </cfRule>
    <cfRule type="containsText" dxfId="2835" priority="3988" operator="containsText" text="$H$10">
      <formula>NOT(ISERROR(SEARCH($H$10,E339)))</formula>
      <formula>$H$10</formula>
    </cfRule>
    <cfRule type="containsText" dxfId="2834" priority="3987" operator="containsText" text="$H$11">
      <formula>NOT(ISERROR(SEARCH($H$11,E339)))</formula>
      <formula>$H$11</formula>
    </cfRule>
    <cfRule type="containsText" dxfId="2833" priority="3986" operator="containsText" text="$H$12">
      <formula>NOT(ISERROR(SEARCH($H$12,E339)))</formula>
      <formula>$H$12</formula>
    </cfRule>
    <cfRule type="containsText" dxfId="2832" priority="3985" operator="containsText" text="$H$13">
      <formula>NOT(ISERROR(SEARCH($H$13,E339)))</formula>
      <formula>$H$13</formula>
    </cfRule>
  </conditionalFormatting>
  <conditionalFormatting sqref="E341">
    <cfRule type="containsText" dxfId="2831" priority="3984" operator="containsText" text="$H$7">
      <formula>NOT(ISERROR(SEARCH($H$7,E341)))</formula>
      <formula>$H$7</formula>
    </cfRule>
    <cfRule type="containsText" dxfId="2830" priority="3983" operator="containsText" text="$H$8">
      <formula>NOT(ISERROR(SEARCH($H$8,E341)))</formula>
      <formula>$H$8</formula>
    </cfRule>
    <cfRule type="containsText" dxfId="2829" priority="3982" operator="containsText" text="$H$8">
      <formula>NOT(ISERROR(SEARCH($H$8,E341)))</formula>
      <formula>$H$8</formula>
    </cfRule>
    <cfRule type="containsText" dxfId="2828" priority="3981" operator="containsText" text="$H$9">
      <formula>NOT(ISERROR(SEARCH($H$9,E341)))</formula>
      <formula>$H$9</formula>
    </cfRule>
    <cfRule type="containsText" dxfId="2827" priority="3980" operator="containsText" text="$H$10">
      <formula>NOT(ISERROR(SEARCH($H$10,E341)))</formula>
      <formula>$H$10</formula>
    </cfRule>
    <cfRule type="containsText" dxfId="2826" priority="3979" operator="containsText" text="$H$11">
      <formula>NOT(ISERROR(SEARCH($H$11,E341)))</formula>
      <formula>$H$11</formula>
    </cfRule>
    <cfRule type="containsText" dxfId="2825" priority="3978" operator="containsText" text="$H$12">
      <formula>NOT(ISERROR(SEARCH($H$12,E341)))</formula>
      <formula>$H$12</formula>
    </cfRule>
    <cfRule type="containsText" dxfId="2824" priority="3977" operator="containsText" text="$H$13">
      <formula>NOT(ISERROR(SEARCH($H$13,E341)))</formula>
      <formula>$H$13</formula>
    </cfRule>
  </conditionalFormatting>
  <conditionalFormatting sqref="E341">
    <cfRule type="containsText" dxfId="2823" priority="3976" operator="containsText" text="$H$7">
      <formula>NOT(ISERROR(SEARCH($H$7,E341)))</formula>
      <formula>$H$7</formula>
    </cfRule>
    <cfRule type="containsText" dxfId="2822" priority="3975" operator="containsText" text="$H$8">
      <formula>NOT(ISERROR(SEARCH($H$8,E341)))</formula>
      <formula>$H$8</formula>
    </cfRule>
    <cfRule type="containsText" dxfId="2821" priority="3974" operator="containsText" text="$H$8">
      <formula>NOT(ISERROR(SEARCH($H$8,E341)))</formula>
      <formula>$H$8</formula>
    </cfRule>
    <cfRule type="containsText" dxfId="2820" priority="3973" operator="containsText" text="$H$9">
      <formula>NOT(ISERROR(SEARCH($H$9,E341)))</formula>
      <formula>$H$9</formula>
    </cfRule>
    <cfRule type="containsText" dxfId="2819" priority="3972" operator="containsText" text="$H$10">
      <formula>NOT(ISERROR(SEARCH($H$10,E341)))</formula>
      <formula>$H$10</formula>
    </cfRule>
    <cfRule type="containsText" dxfId="2818" priority="3971" operator="containsText" text="$H$11">
      <formula>NOT(ISERROR(SEARCH($H$11,E341)))</formula>
      <formula>$H$11</formula>
    </cfRule>
    <cfRule type="containsText" dxfId="2817" priority="3970" operator="containsText" text="$H$12">
      <formula>NOT(ISERROR(SEARCH($H$12,E341)))</formula>
      <formula>$H$12</formula>
    </cfRule>
    <cfRule type="containsText" dxfId="2816" priority="3969" operator="containsText" text="$H$13">
      <formula>NOT(ISERROR(SEARCH($H$13,E341)))</formula>
      <formula>$H$13</formula>
    </cfRule>
  </conditionalFormatting>
  <conditionalFormatting sqref="E343">
    <cfRule type="containsText" dxfId="2815" priority="3968" operator="containsText" text="$H$7">
      <formula>NOT(ISERROR(SEARCH($H$7,E343)))</formula>
      <formula>$H$7</formula>
    </cfRule>
    <cfRule type="containsText" dxfId="2814" priority="3967" operator="containsText" text="$H$8">
      <formula>NOT(ISERROR(SEARCH($H$8,E343)))</formula>
      <formula>$H$8</formula>
    </cfRule>
    <cfRule type="containsText" dxfId="2813" priority="3966" operator="containsText" text="$H$8">
      <formula>NOT(ISERROR(SEARCH($H$8,E343)))</formula>
      <formula>$H$8</formula>
    </cfRule>
    <cfRule type="containsText" dxfId="2812" priority="3965" operator="containsText" text="$H$9">
      <formula>NOT(ISERROR(SEARCH($H$9,E343)))</formula>
      <formula>$H$9</formula>
    </cfRule>
    <cfRule type="containsText" dxfId="2811" priority="3964" operator="containsText" text="$H$10">
      <formula>NOT(ISERROR(SEARCH($H$10,E343)))</formula>
      <formula>$H$10</formula>
    </cfRule>
    <cfRule type="containsText" dxfId="2810" priority="3963" operator="containsText" text="$H$11">
      <formula>NOT(ISERROR(SEARCH($H$11,E343)))</formula>
      <formula>$H$11</formula>
    </cfRule>
    <cfRule type="containsText" dxfId="2809" priority="3962" operator="containsText" text="$H$12">
      <formula>NOT(ISERROR(SEARCH($H$12,E343)))</formula>
      <formula>$H$12</formula>
    </cfRule>
    <cfRule type="containsText" dxfId="2808" priority="3961" operator="containsText" text="$H$13">
      <formula>NOT(ISERROR(SEARCH($H$13,E343)))</formula>
      <formula>$H$13</formula>
    </cfRule>
  </conditionalFormatting>
  <conditionalFormatting sqref="E343">
    <cfRule type="containsText" dxfId="2807" priority="3960" operator="containsText" text="$H$7">
      <formula>NOT(ISERROR(SEARCH($H$7,E343)))</formula>
      <formula>$H$7</formula>
    </cfRule>
    <cfRule type="containsText" dxfId="2806" priority="3959" operator="containsText" text="$H$8">
      <formula>NOT(ISERROR(SEARCH($H$8,E343)))</formula>
      <formula>$H$8</formula>
    </cfRule>
    <cfRule type="containsText" dxfId="2805" priority="3958" operator="containsText" text="$H$8">
      <formula>NOT(ISERROR(SEARCH($H$8,E343)))</formula>
      <formula>$H$8</formula>
    </cfRule>
    <cfRule type="containsText" dxfId="2804" priority="3957" operator="containsText" text="$H$9">
      <formula>NOT(ISERROR(SEARCH($H$9,E343)))</formula>
      <formula>$H$9</formula>
    </cfRule>
    <cfRule type="containsText" dxfId="2803" priority="3956" operator="containsText" text="$H$10">
      <formula>NOT(ISERROR(SEARCH($H$10,E343)))</formula>
      <formula>$H$10</formula>
    </cfRule>
    <cfRule type="containsText" dxfId="2802" priority="3955" operator="containsText" text="$H$11">
      <formula>NOT(ISERROR(SEARCH($H$11,E343)))</formula>
      <formula>$H$11</formula>
    </cfRule>
    <cfRule type="containsText" dxfId="2801" priority="3954" operator="containsText" text="$H$12">
      <formula>NOT(ISERROR(SEARCH($H$12,E343)))</formula>
      <formula>$H$12</formula>
    </cfRule>
    <cfRule type="containsText" dxfId="2800" priority="3953" operator="containsText" text="$H$13">
      <formula>NOT(ISERROR(SEARCH($H$13,E343)))</formula>
      <formula>$H$13</formula>
    </cfRule>
  </conditionalFormatting>
  <conditionalFormatting sqref="E345">
    <cfRule type="containsText" dxfId="2799" priority="3952" operator="containsText" text="$H$7">
      <formula>NOT(ISERROR(SEARCH($H$7,E345)))</formula>
      <formula>$H$7</formula>
    </cfRule>
    <cfRule type="containsText" dxfId="2798" priority="3951" operator="containsText" text="$H$8">
      <formula>NOT(ISERROR(SEARCH($H$8,E345)))</formula>
      <formula>$H$8</formula>
    </cfRule>
    <cfRule type="containsText" dxfId="2797" priority="3950" operator="containsText" text="$H$8">
      <formula>NOT(ISERROR(SEARCH($H$8,E345)))</formula>
      <formula>$H$8</formula>
    </cfRule>
    <cfRule type="containsText" dxfId="2796" priority="3949" operator="containsText" text="$H$9">
      <formula>NOT(ISERROR(SEARCH($H$9,E345)))</formula>
      <formula>$H$9</formula>
    </cfRule>
    <cfRule type="containsText" dxfId="2795" priority="3948" operator="containsText" text="$H$10">
      <formula>NOT(ISERROR(SEARCH($H$10,E345)))</formula>
      <formula>$H$10</formula>
    </cfRule>
    <cfRule type="containsText" dxfId="2794" priority="3947" operator="containsText" text="$H$11">
      <formula>NOT(ISERROR(SEARCH($H$11,E345)))</formula>
      <formula>$H$11</formula>
    </cfRule>
    <cfRule type="containsText" dxfId="2793" priority="3946" operator="containsText" text="$H$12">
      <formula>NOT(ISERROR(SEARCH($H$12,E345)))</formula>
      <formula>$H$12</formula>
    </cfRule>
    <cfRule type="containsText" dxfId="2792" priority="3945" operator="containsText" text="$H$13">
      <formula>NOT(ISERROR(SEARCH($H$13,E345)))</formula>
      <formula>$H$13</formula>
    </cfRule>
  </conditionalFormatting>
  <conditionalFormatting sqref="E345">
    <cfRule type="containsText" dxfId="2791" priority="3944" operator="containsText" text="$H$7">
      <formula>NOT(ISERROR(SEARCH($H$7,E345)))</formula>
      <formula>$H$7</formula>
    </cfRule>
    <cfRule type="containsText" dxfId="2790" priority="3943" operator="containsText" text="$H$8">
      <formula>NOT(ISERROR(SEARCH($H$8,E345)))</formula>
      <formula>$H$8</formula>
    </cfRule>
    <cfRule type="containsText" dxfId="2789" priority="3942" operator="containsText" text="$H$8">
      <formula>NOT(ISERROR(SEARCH($H$8,E345)))</formula>
      <formula>$H$8</formula>
    </cfRule>
    <cfRule type="containsText" dxfId="2788" priority="3941" operator="containsText" text="$H$9">
      <formula>NOT(ISERROR(SEARCH($H$9,E345)))</formula>
      <formula>$H$9</formula>
    </cfRule>
    <cfRule type="containsText" dxfId="2787" priority="3940" operator="containsText" text="$H$10">
      <formula>NOT(ISERROR(SEARCH($H$10,E345)))</formula>
      <formula>$H$10</formula>
    </cfRule>
    <cfRule type="containsText" dxfId="2786" priority="3939" operator="containsText" text="$H$11">
      <formula>NOT(ISERROR(SEARCH($H$11,E345)))</formula>
      <formula>$H$11</formula>
    </cfRule>
    <cfRule type="containsText" dxfId="2785" priority="3938" operator="containsText" text="$H$12">
      <formula>NOT(ISERROR(SEARCH($H$12,E345)))</formula>
      <formula>$H$12</formula>
    </cfRule>
    <cfRule type="containsText" dxfId="2784" priority="3937" operator="containsText" text="$H$13">
      <formula>NOT(ISERROR(SEARCH($H$13,E345)))</formula>
      <formula>$H$13</formula>
    </cfRule>
  </conditionalFormatting>
  <conditionalFormatting sqref="C331">
    <cfRule type="containsText" dxfId="2783" priority="3936" operator="containsText" text="$H$7">
      <formula>NOT(ISERROR(SEARCH($H$7,C331)))</formula>
      <formula>$H$7</formula>
    </cfRule>
    <cfRule type="containsText" dxfId="2782" priority="3935" operator="containsText" text="$H$8">
      <formula>NOT(ISERROR(SEARCH($H$8,C331)))</formula>
      <formula>$H$8</formula>
    </cfRule>
    <cfRule type="containsText" dxfId="2781" priority="3934" operator="containsText" text="$H$8">
      <formula>NOT(ISERROR(SEARCH($H$8,C331)))</formula>
      <formula>$H$8</formula>
    </cfRule>
    <cfRule type="containsText" dxfId="2780" priority="3933" operator="containsText" text="$H$9">
      <formula>NOT(ISERROR(SEARCH($H$9,C331)))</formula>
      <formula>$H$9</formula>
    </cfRule>
    <cfRule type="containsText" dxfId="2779" priority="3932" operator="containsText" text="$H$10">
      <formula>NOT(ISERROR(SEARCH($H$10,C331)))</formula>
      <formula>$H$10</formula>
    </cfRule>
    <cfRule type="containsText" dxfId="2778" priority="3931" operator="containsText" text="$H$11">
      <formula>NOT(ISERROR(SEARCH($H$11,C331)))</formula>
      <formula>$H$11</formula>
    </cfRule>
    <cfRule type="containsText" dxfId="2777" priority="3930" operator="containsText" text="$H$12">
      <formula>NOT(ISERROR(SEARCH($H$12,C331)))</formula>
      <formula>$H$12</formula>
    </cfRule>
    <cfRule type="containsText" dxfId="2776" priority="3929" operator="containsText" text="$H$13">
      <formula>NOT(ISERROR(SEARCH($H$13,C331)))</formula>
      <formula>$H$13</formula>
    </cfRule>
  </conditionalFormatting>
  <conditionalFormatting sqref="C331">
    <cfRule type="containsText" dxfId="2775" priority="3928" operator="containsText" text="$H$7">
      <formula>NOT(ISERROR(SEARCH($H$7,C331)))</formula>
      <formula>$H$7</formula>
    </cfRule>
    <cfRule type="containsText" dxfId="2774" priority="3927" operator="containsText" text="$H$8">
      <formula>NOT(ISERROR(SEARCH($H$8,C331)))</formula>
      <formula>$H$8</formula>
    </cfRule>
    <cfRule type="containsText" dxfId="2773" priority="3926" operator="containsText" text="$H$8">
      <formula>NOT(ISERROR(SEARCH($H$8,C331)))</formula>
      <formula>$H$8</formula>
    </cfRule>
    <cfRule type="containsText" dxfId="2772" priority="3925" operator="containsText" text="$H$9">
      <formula>NOT(ISERROR(SEARCH($H$9,C331)))</formula>
      <formula>$H$9</formula>
    </cfRule>
    <cfRule type="containsText" dxfId="2771" priority="3924" operator="containsText" text="$H$10">
      <formula>NOT(ISERROR(SEARCH($H$10,C331)))</formula>
      <formula>$H$10</formula>
    </cfRule>
    <cfRule type="containsText" dxfId="2770" priority="3923" operator="containsText" text="$H$11">
      <formula>NOT(ISERROR(SEARCH($H$11,C331)))</formula>
      <formula>$H$11</formula>
    </cfRule>
    <cfRule type="containsText" dxfId="2769" priority="3922" operator="containsText" text="$H$12">
      <formula>NOT(ISERROR(SEARCH($H$12,C331)))</formula>
      <formula>$H$12</formula>
    </cfRule>
    <cfRule type="containsText" dxfId="2768" priority="3921" operator="containsText" text="$H$13">
      <formula>NOT(ISERROR(SEARCH($H$13,C331)))</formula>
      <formula>$H$13</formula>
    </cfRule>
  </conditionalFormatting>
  <conditionalFormatting sqref="C333">
    <cfRule type="containsText" dxfId="2767" priority="3920" operator="containsText" text="$H$7">
      <formula>NOT(ISERROR(SEARCH($H$7,C333)))</formula>
      <formula>$H$7</formula>
    </cfRule>
    <cfRule type="containsText" dxfId="2766" priority="3919" operator="containsText" text="$H$8">
      <formula>NOT(ISERROR(SEARCH($H$8,C333)))</formula>
      <formula>$H$8</formula>
    </cfRule>
    <cfRule type="containsText" dxfId="2765" priority="3918" operator="containsText" text="$H$8">
      <formula>NOT(ISERROR(SEARCH($H$8,C333)))</formula>
      <formula>$H$8</formula>
    </cfRule>
    <cfRule type="containsText" dxfId="2764" priority="3917" operator="containsText" text="$H$9">
      <formula>NOT(ISERROR(SEARCH($H$9,C333)))</formula>
      <formula>$H$9</formula>
    </cfRule>
    <cfRule type="containsText" dxfId="2763" priority="3916" operator="containsText" text="$H$10">
      <formula>NOT(ISERROR(SEARCH($H$10,C333)))</formula>
      <formula>$H$10</formula>
    </cfRule>
    <cfRule type="containsText" dxfId="2762" priority="3915" operator="containsText" text="$H$11">
      <formula>NOT(ISERROR(SEARCH($H$11,C333)))</formula>
      <formula>$H$11</formula>
    </cfRule>
    <cfRule type="containsText" dxfId="2761" priority="3914" operator="containsText" text="$H$12">
      <formula>NOT(ISERROR(SEARCH($H$12,C333)))</formula>
      <formula>$H$12</formula>
    </cfRule>
    <cfRule type="containsText" dxfId="2760" priority="3913" operator="containsText" text="$H$13">
      <formula>NOT(ISERROR(SEARCH($H$13,C333)))</formula>
      <formula>$H$13</formula>
    </cfRule>
  </conditionalFormatting>
  <conditionalFormatting sqref="C333">
    <cfRule type="containsText" dxfId="2759" priority="3912" operator="containsText" text="$H$7">
      <formula>NOT(ISERROR(SEARCH($H$7,C333)))</formula>
      <formula>$H$7</formula>
    </cfRule>
    <cfRule type="containsText" dxfId="2758" priority="3911" operator="containsText" text="$H$8">
      <formula>NOT(ISERROR(SEARCH($H$8,C333)))</formula>
      <formula>$H$8</formula>
    </cfRule>
    <cfRule type="containsText" dxfId="2757" priority="3910" operator="containsText" text="$H$8">
      <formula>NOT(ISERROR(SEARCH($H$8,C333)))</formula>
      <formula>$H$8</formula>
    </cfRule>
    <cfRule type="containsText" dxfId="2756" priority="3909" operator="containsText" text="$H$9">
      <formula>NOT(ISERROR(SEARCH($H$9,C333)))</formula>
      <formula>$H$9</formula>
    </cfRule>
    <cfRule type="containsText" dxfId="2755" priority="3908" operator="containsText" text="$H$10">
      <formula>NOT(ISERROR(SEARCH($H$10,C333)))</formula>
      <formula>$H$10</formula>
    </cfRule>
    <cfRule type="containsText" dxfId="2754" priority="3907" operator="containsText" text="$H$11">
      <formula>NOT(ISERROR(SEARCH($H$11,C333)))</formula>
      <formula>$H$11</formula>
    </cfRule>
    <cfRule type="containsText" dxfId="2753" priority="3906" operator="containsText" text="$H$12">
      <formula>NOT(ISERROR(SEARCH($H$12,C333)))</formula>
      <formula>$H$12</formula>
    </cfRule>
    <cfRule type="containsText" dxfId="2752" priority="3905" operator="containsText" text="$H$13">
      <formula>NOT(ISERROR(SEARCH($H$13,C333)))</formula>
      <formula>$H$13</formula>
    </cfRule>
  </conditionalFormatting>
  <conditionalFormatting sqref="C335">
    <cfRule type="containsText" dxfId="2751" priority="3904" operator="containsText" text="$H$7">
      <formula>NOT(ISERROR(SEARCH($H$7,C335)))</formula>
      <formula>$H$7</formula>
    </cfRule>
    <cfRule type="containsText" dxfId="2750" priority="3903" operator="containsText" text="$H$8">
      <formula>NOT(ISERROR(SEARCH($H$8,C335)))</formula>
      <formula>$H$8</formula>
    </cfRule>
    <cfRule type="containsText" dxfId="2749" priority="3902" operator="containsText" text="$H$8">
      <formula>NOT(ISERROR(SEARCH($H$8,C335)))</formula>
      <formula>$H$8</formula>
    </cfRule>
    <cfRule type="containsText" dxfId="2748" priority="3901" operator="containsText" text="$H$9">
      <formula>NOT(ISERROR(SEARCH($H$9,C335)))</formula>
      <formula>$H$9</formula>
    </cfRule>
    <cfRule type="containsText" dxfId="2747" priority="3900" operator="containsText" text="$H$10">
      <formula>NOT(ISERROR(SEARCH($H$10,C335)))</formula>
      <formula>$H$10</formula>
    </cfRule>
    <cfRule type="containsText" dxfId="2746" priority="3899" operator="containsText" text="$H$11">
      <formula>NOT(ISERROR(SEARCH($H$11,C335)))</formula>
      <formula>$H$11</formula>
    </cfRule>
    <cfRule type="containsText" dxfId="2745" priority="3898" operator="containsText" text="$H$12">
      <formula>NOT(ISERROR(SEARCH($H$12,C335)))</formula>
      <formula>$H$12</formula>
    </cfRule>
    <cfRule type="containsText" dxfId="2744" priority="3897" operator="containsText" text="$H$13">
      <formula>NOT(ISERROR(SEARCH($H$13,C335)))</formula>
      <formula>$H$13</formula>
    </cfRule>
  </conditionalFormatting>
  <conditionalFormatting sqref="C335">
    <cfRule type="containsText" dxfId="2743" priority="3896" operator="containsText" text="$H$7">
      <formula>NOT(ISERROR(SEARCH($H$7,C335)))</formula>
      <formula>$H$7</formula>
    </cfRule>
    <cfRule type="containsText" dxfId="2742" priority="3895" operator="containsText" text="$H$8">
      <formula>NOT(ISERROR(SEARCH($H$8,C335)))</formula>
      <formula>$H$8</formula>
    </cfRule>
    <cfRule type="containsText" dxfId="2741" priority="3894" operator="containsText" text="$H$8">
      <formula>NOT(ISERROR(SEARCH($H$8,C335)))</formula>
      <formula>$H$8</formula>
    </cfRule>
    <cfRule type="containsText" dxfId="2740" priority="3893" operator="containsText" text="$H$9">
      <formula>NOT(ISERROR(SEARCH($H$9,C335)))</formula>
      <formula>$H$9</formula>
    </cfRule>
    <cfRule type="containsText" dxfId="2739" priority="3892" operator="containsText" text="$H$10">
      <formula>NOT(ISERROR(SEARCH($H$10,C335)))</formula>
      <formula>$H$10</formula>
    </cfRule>
    <cfRule type="containsText" dxfId="2738" priority="3891" operator="containsText" text="$H$11">
      <formula>NOT(ISERROR(SEARCH($H$11,C335)))</formula>
      <formula>$H$11</formula>
    </cfRule>
    <cfRule type="containsText" dxfId="2737" priority="3890" operator="containsText" text="$H$12">
      <formula>NOT(ISERROR(SEARCH($H$12,C335)))</formula>
      <formula>$H$12</formula>
    </cfRule>
    <cfRule type="containsText" dxfId="2736" priority="3889" operator="containsText" text="$H$13">
      <formula>NOT(ISERROR(SEARCH($H$13,C335)))</formula>
      <formula>$H$13</formula>
    </cfRule>
  </conditionalFormatting>
  <conditionalFormatting sqref="C337">
    <cfRule type="containsText" dxfId="2735" priority="3888" operator="containsText" text="$H$7">
      <formula>NOT(ISERROR(SEARCH($H$7,C337)))</formula>
      <formula>$H$7</formula>
    </cfRule>
    <cfRule type="containsText" dxfId="2734" priority="3887" operator="containsText" text="$H$8">
      <formula>NOT(ISERROR(SEARCH($H$8,C337)))</formula>
      <formula>$H$8</formula>
    </cfRule>
    <cfRule type="containsText" dxfId="2733" priority="3886" operator="containsText" text="$H$8">
      <formula>NOT(ISERROR(SEARCH($H$8,C337)))</formula>
      <formula>$H$8</formula>
    </cfRule>
    <cfRule type="containsText" dxfId="2732" priority="3885" operator="containsText" text="$H$9">
      <formula>NOT(ISERROR(SEARCH($H$9,C337)))</formula>
      <formula>$H$9</formula>
    </cfRule>
    <cfRule type="containsText" dxfId="2731" priority="3884" operator="containsText" text="$H$10">
      <formula>NOT(ISERROR(SEARCH($H$10,C337)))</formula>
      <formula>$H$10</formula>
    </cfRule>
    <cfRule type="containsText" dxfId="2730" priority="3883" operator="containsText" text="$H$11">
      <formula>NOT(ISERROR(SEARCH($H$11,C337)))</formula>
      <formula>$H$11</formula>
    </cfRule>
    <cfRule type="containsText" dxfId="2729" priority="3882" operator="containsText" text="$H$12">
      <formula>NOT(ISERROR(SEARCH($H$12,C337)))</formula>
      <formula>$H$12</formula>
    </cfRule>
    <cfRule type="containsText" dxfId="2728" priority="3881" operator="containsText" text="$H$13">
      <formula>NOT(ISERROR(SEARCH($H$13,C337)))</formula>
      <formula>$H$13</formula>
    </cfRule>
  </conditionalFormatting>
  <conditionalFormatting sqref="C337">
    <cfRule type="containsText" dxfId="2727" priority="3880" operator="containsText" text="$H$7">
      <formula>NOT(ISERROR(SEARCH($H$7,C337)))</formula>
      <formula>$H$7</formula>
    </cfRule>
    <cfRule type="containsText" dxfId="2726" priority="3879" operator="containsText" text="$H$8">
      <formula>NOT(ISERROR(SEARCH($H$8,C337)))</formula>
      <formula>$H$8</formula>
    </cfRule>
    <cfRule type="containsText" dxfId="2725" priority="3878" operator="containsText" text="$H$8">
      <formula>NOT(ISERROR(SEARCH($H$8,C337)))</formula>
      <formula>$H$8</formula>
    </cfRule>
    <cfRule type="containsText" dxfId="2724" priority="3877" operator="containsText" text="$H$9">
      <formula>NOT(ISERROR(SEARCH($H$9,C337)))</formula>
      <formula>$H$9</formula>
    </cfRule>
    <cfRule type="containsText" dxfId="2723" priority="3876" operator="containsText" text="$H$10">
      <formula>NOT(ISERROR(SEARCH($H$10,C337)))</formula>
      <formula>$H$10</formula>
    </cfRule>
    <cfRule type="containsText" dxfId="2722" priority="3875" operator="containsText" text="$H$11">
      <formula>NOT(ISERROR(SEARCH($H$11,C337)))</formula>
      <formula>$H$11</formula>
    </cfRule>
    <cfRule type="containsText" dxfId="2721" priority="3874" operator="containsText" text="$H$12">
      <formula>NOT(ISERROR(SEARCH($H$12,C337)))</formula>
      <formula>$H$12</formula>
    </cfRule>
    <cfRule type="containsText" dxfId="2720" priority="3873" operator="containsText" text="$H$13">
      <formula>NOT(ISERROR(SEARCH($H$13,C337)))</formula>
      <formula>$H$13</formula>
    </cfRule>
  </conditionalFormatting>
  <conditionalFormatting sqref="E331">
    <cfRule type="containsText" dxfId="2719" priority="3872" operator="containsText" text="$H$7">
      <formula>NOT(ISERROR(SEARCH($H$7,E331)))</formula>
      <formula>$H$7</formula>
    </cfRule>
    <cfRule type="containsText" dxfId="2718" priority="3871" operator="containsText" text="$H$8">
      <formula>NOT(ISERROR(SEARCH($H$8,E331)))</formula>
      <formula>$H$8</formula>
    </cfRule>
    <cfRule type="containsText" dxfId="2717" priority="3870" operator="containsText" text="$H$8">
      <formula>NOT(ISERROR(SEARCH($H$8,E331)))</formula>
      <formula>$H$8</formula>
    </cfRule>
    <cfRule type="containsText" dxfId="2716" priority="3869" operator="containsText" text="$H$9">
      <formula>NOT(ISERROR(SEARCH($H$9,E331)))</formula>
      <formula>$H$9</formula>
    </cfRule>
    <cfRule type="containsText" dxfId="2715" priority="3868" operator="containsText" text="$H$10">
      <formula>NOT(ISERROR(SEARCH($H$10,E331)))</formula>
      <formula>$H$10</formula>
    </cfRule>
    <cfRule type="containsText" dxfId="2714" priority="3867" operator="containsText" text="$H$11">
      <formula>NOT(ISERROR(SEARCH($H$11,E331)))</formula>
      <formula>$H$11</formula>
    </cfRule>
    <cfRule type="containsText" dxfId="2713" priority="3866" operator="containsText" text="$H$12">
      <formula>NOT(ISERROR(SEARCH($H$12,E331)))</formula>
      <formula>$H$12</formula>
    </cfRule>
    <cfRule type="containsText" dxfId="2712" priority="3865" operator="containsText" text="$H$13">
      <formula>NOT(ISERROR(SEARCH($H$13,E331)))</formula>
      <formula>$H$13</formula>
    </cfRule>
  </conditionalFormatting>
  <conditionalFormatting sqref="E331">
    <cfRule type="containsText" dxfId="2711" priority="3864" operator="containsText" text="$H$7">
      <formula>NOT(ISERROR(SEARCH($H$7,E331)))</formula>
      <formula>$H$7</formula>
    </cfRule>
    <cfRule type="containsText" dxfId="2710" priority="3863" operator="containsText" text="$H$8">
      <formula>NOT(ISERROR(SEARCH($H$8,E331)))</formula>
      <formula>$H$8</formula>
    </cfRule>
    <cfRule type="containsText" dxfId="2709" priority="3862" operator="containsText" text="$H$8">
      <formula>NOT(ISERROR(SEARCH($H$8,E331)))</formula>
      <formula>$H$8</formula>
    </cfRule>
    <cfRule type="containsText" dxfId="2708" priority="3861" operator="containsText" text="$H$9">
      <formula>NOT(ISERROR(SEARCH($H$9,E331)))</formula>
      <formula>$H$9</formula>
    </cfRule>
    <cfRule type="containsText" dxfId="2707" priority="3860" operator="containsText" text="$H$10">
      <formula>NOT(ISERROR(SEARCH($H$10,E331)))</formula>
      <formula>$H$10</formula>
    </cfRule>
    <cfRule type="containsText" dxfId="2706" priority="3859" operator="containsText" text="$H$11">
      <formula>NOT(ISERROR(SEARCH($H$11,E331)))</formula>
      <formula>$H$11</formula>
    </cfRule>
    <cfRule type="containsText" dxfId="2705" priority="3858" operator="containsText" text="$H$12">
      <formula>NOT(ISERROR(SEARCH($H$12,E331)))</formula>
      <formula>$H$12</formula>
    </cfRule>
    <cfRule type="containsText" dxfId="2704" priority="3857" operator="containsText" text="$H$13">
      <formula>NOT(ISERROR(SEARCH($H$13,E331)))</formula>
      <formula>$H$13</formula>
    </cfRule>
  </conditionalFormatting>
  <conditionalFormatting sqref="E333">
    <cfRule type="containsText" dxfId="2703" priority="3856" operator="containsText" text="$H$7">
      <formula>NOT(ISERROR(SEARCH($H$7,E333)))</formula>
      <formula>$H$7</formula>
    </cfRule>
    <cfRule type="containsText" dxfId="2702" priority="3855" operator="containsText" text="$H$8">
      <formula>NOT(ISERROR(SEARCH($H$8,E333)))</formula>
      <formula>$H$8</formula>
    </cfRule>
    <cfRule type="containsText" dxfId="2701" priority="3854" operator="containsText" text="$H$8">
      <formula>NOT(ISERROR(SEARCH($H$8,E333)))</formula>
      <formula>$H$8</formula>
    </cfRule>
    <cfRule type="containsText" dxfId="2700" priority="3853" operator="containsText" text="$H$9">
      <formula>NOT(ISERROR(SEARCH($H$9,E333)))</formula>
      <formula>$H$9</formula>
    </cfRule>
    <cfRule type="containsText" dxfId="2699" priority="3852" operator="containsText" text="$H$10">
      <formula>NOT(ISERROR(SEARCH($H$10,E333)))</formula>
      <formula>$H$10</formula>
    </cfRule>
    <cfRule type="containsText" dxfId="2698" priority="3851" operator="containsText" text="$H$11">
      <formula>NOT(ISERROR(SEARCH($H$11,E333)))</formula>
      <formula>$H$11</formula>
    </cfRule>
    <cfRule type="containsText" dxfId="2697" priority="3850" operator="containsText" text="$H$12">
      <formula>NOT(ISERROR(SEARCH($H$12,E333)))</formula>
      <formula>$H$12</formula>
    </cfRule>
    <cfRule type="containsText" dxfId="2696" priority="3849" operator="containsText" text="$H$13">
      <formula>NOT(ISERROR(SEARCH($H$13,E333)))</formula>
      <formula>$H$13</formula>
    </cfRule>
  </conditionalFormatting>
  <conditionalFormatting sqref="E333">
    <cfRule type="containsText" dxfId="2695" priority="3848" operator="containsText" text="$H$7">
      <formula>NOT(ISERROR(SEARCH($H$7,E333)))</formula>
      <formula>$H$7</formula>
    </cfRule>
    <cfRule type="containsText" dxfId="2694" priority="3847" operator="containsText" text="$H$8">
      <formula>NOT(ISERROR(SEARCH($H$8,E333)))</formula>
      <formula>$H$8</formula>
    </cfRule>
    <cfRule type="containsText" dxfId="2693" priority="3846" operator="containsText" text="$H$8">
      <formula>NOT(ISERROR(SEARCH($H$8,E333)))</formula>
      <formula>$H$8</formula>
    </cfRule>
    <cfRule type="containsText" dxfId="2692" priority="3845" operator="containsText" text="$H$9">
      <formula>NOT(ISERROR(SEARCH($H$9,E333)))</formula>
      <formula>$H$9</formula>
    </cfRule>
    <cfRule type="containsText" dxfId="2691" priority="3844" operator="containsText" text="$H$10">
      <formula>NOT(ISERROR(SEARCH($H$10,E333)))</formula>
      <formula>$H$10</formula>
    </cfRule>
    <cfRule type="containsText" dxfId="2690" priority="3843" operator="containsText" text="$H$11">
      <formula>NOT(ISERROR(SEARCH($H$11,E333)))</formula>
      <formula>$H$11</formula>
    </cfRule>
    <cfRule type="containsText" dxfId="2689" priority="3842" operator="containsText" text="$H$12">
      <formula>NOT(ISERROR(SEARCH($H$12,E333)))</formula>
      <formula>$H$12</formula>
    </cfRule>
    <cfRule type="containsText" dxfId="2688" priority="3841" operator="containsText" text="$H$13">
      <formula>NOT(ISERROR(SEARCH($H$13,E333)))</formula>
      <formula>$H$13</formula>
    </cfRule>
  </conditionalFormatting>
  <conditionalFormatting sqref="E335">
    <cfRule type="containsText" dxfId="2687" priority="3840" operator="containsText" text="$H$7">
      <formula>NOT(ISERROR(SEARCH($H$7,E335)))</formula>
      <formula>$H$7</formula>
    </cfRule>
    <cfRule type="containsText" dxfId="2686" priority="3839" operator="containsText" text="$H$8">
      <formula>NOT(ISERROR(SEARCH($H$8,E335)))</formula>
      <formula>$H$8</formula>
    </cfRule>
    <cfRule type="containsText" dxfId="2685" priority="3838" operator="containsText" text="$H$8">
      <formula>NOT(ISERROR(SEARCH($H$8,E335)))</formula>
      <formula>$H$8</formula>
    </cfRule>
    <cfRule type="containsText" dxfId="2684" priority="3837" operator="containsText" text="$H$9">
      <formula>NOT(ISERROR(SEARCH($H$9,E335)))</formula>
      <formula>$H$9</formula>
    </cfRule>
    <cfRule type="containsText" dxfId="2683" priority="3836" operator="containsText" text="$H$10">
      <formula>NOT(ISERROR(SEARCH($H$10,E335)))</formula>
      <formula>$H$10</formula>
    </cfRule>
    <cfRule type="containsText" dxfId="2682" priority="3835" operator="containsText" text="$H$11">
      <formula>NOT(ISERROR(SEARCH($H$11,E335)))</formula>
      <formula>$H$11</formula>
    </cfRule>
    <cfRule type="containsText" dxfId="2681" priority="3834" operator="containsText" text="$H$12">
      <formula>NOT(ISERROR(SEARCH($H$12,E335)))</formula>
      <formula>$H$12</formula>
    </cfRule>
    <cfRule type="containsText" dxfId="2680" priority="3833" operator="containsText" text="$H$13">
      <formula>NOT(ISERROR(SEARCH($H$13,E335)))</formula>
      <formula>$H$13</formula>
    </cfRule>
  </conditionalFormatting>
  <conditionalFormatting sqref="E335">
    <cfRule type="containsText" dxfId="2679" priority="3832" operator="containsText" text="$H$7">
      <formula>NOT(ISERROR(SEARCH($H$7,E335)))</formula>
      <formula>$H$7</formula>
    </cfRule>
    <cfRule type="containsText" dxfId="2678" priority="3831" operator="containsText" text="$H$8">
      <formula>NOT(ISERROR(SEARCH($H$8,E335)))</formula>
      <formula>$H$8</formula>
    </cfRule>
    <cfRule type="containsText" dxfId="2677" priority="3830" operator="containsText" text="$H$8">
      <formula>NOT(ISERROR(SEARCH($H$8,E335)))</formula>
      <formula>$H$8</formula>
    </cfRule>
    <cfRule type="containsText" dxfId="2676" priority="3829" operator="containsText" text="$H$9">
      <formula>NOT(ISERROR(SEARCH($H$9,E335)))</formula>
      <formula>$H$9</formula>
    </cfRule>
    <cfRule type="containsText" dxfId="2675" priority="3828" operator="containsText" text="$H$10">
      <formula>NOT(ISERROR(SEARCH($H$10,E335)))</formula>
      <formula>$H$10</formula>
    </cfRule>
    <cfRule type="containsText" dxfId="2674" priority="3827" operator="containsText" text="$H$11">
      <formula>NOT(ISERROR(SEARCH($H$11,E335)))</formula>
      <formula>$H$11</formula>
    </cfRule>
    <cfRule type="containsText" dxfId="2673" priority="3826" operator="containsText" text="$H$12">
      <formula>NOT(ISERROR(SEARCH($H$12,E335)))</formula>
      <formula>$H$12</formula>
    </cfRule>
    <cfRule type="containsText" dxfId="2672" priority="3825" operator="containsText" text="$H$13">
      <formula>NOT(ISERROR(SEARCH($H$13,E335)))</formula>
      <formula>$H$13</formula>
    </cfRule>
  </conditionalFormatting>
  <conditionalFormatting sqref="E337">
    <cfRule type="containsText" dxfId="2671" priority="3824" operator="containsText" text="$H$7">
      <formula>NOT(ISERROR(SEARCH($H$7,E337)))</formula>
      <formula>$H$7</formula>
    </cfRule>
    <cfRule type="containsText" dxfId="2670" priority="3823" operator="containsText" text="$H$8">
      <formula>NOT(ISERROR(SEARCH($H$8,E337)))</formula>
      <formula>$H$8</formula>
    </cfRule>
    <cfRule type="containsText" dxfId="2669" priority="3822" operator="containsText" text="$H$8">
      <formula>NOT(ISERROR(SEARCH($H$8,E337)))</formula>
      <formula>$H$8</formula>
    </cfRule>
    <cfRule type="containsText" dxfId="2668" priority="3821" operator="containsText" text="$H$9">
      <formula>NOT(ISERROR(SEARCH($H$9,E337)))</formula>
      <formula>$H$9</formula>
    </cfRule>
    <cfRule type="containsText" dxfId="2667" priority="3820" operator="containsText" text="$H$10">
      <formula>NOT(ISERROR(SEARCH($H$10,E337)))</formula>
      <formula>$H$10</formula>
    </cfRule>
    <cfRule type="containsText" dxfId="2666" priority="3819" operator="containsText" text="$H$11">
      <formula>NOT(ISERROR(SEARCH($H$11,E337)))</formula>
      <formula>$H$11</formula>
    </cfRule>
    <cfRule type="containsText" dxfId="2665" priority="3818" operator="containsText" text="$H$12">
      <formula>NOT(ISERROR(SEARCH($H$12,E337)))</formula>
      <formula>$H$12</formula>
    </cfRule>
    <cfRule type="containsText" dxfId="2664" priority="3817" operator="containsText" text="$H$13">
      <formula>NOT(ISERROR(SEARCH($H$13,E337)))</formula>
      <formula>$H$13</formula>
    </cfRule>
  </conditionalFormatting>
  <conditionalFormatting sqref="E337">
    <cfRule type="containsText" dxfId="2663" priority="3816" operator="containsText" text="$H$7">
      <formula>NOT(ISERROR(SEARCH($H$7,E337)))</formula>
      <formula>$H$7</formula>
    </cfRule>
    <cfRule type="containsText" dxfId="2662" priority="3815" operator="containsText" text="$H$8">
      <formula>NOT(ISERROR(SEARCH($H$8,E337)))</formula>
      <formula>$H$8</formula>
    </cfRule>
    <cfRule type="containsText" dxfId="2661" priority="3814" operator="containsText" text="$H$8">
      <formula>NOT(ISERROR(SEARCH($H$8,E337)))</formula>
      <formula>$H$8</formula>
    </cfRule>
    <cfRule type="containsText" dxfId="2660" priority="3813" operator="containsText" text="$H$9">
      <formula>NOT(ISERROR(SEARCH($H$9,E337)))</formula>
      <formula>$H$9</formula>
    </cfRule>
    <cfRule type="containsText" dxfId="2659" priority="3812" operator="containsText" text="$H$10">
      <formula>NOT(ISERROR(SEARCH($H$10,E337)))</formula>
      <formula>$H$10</formula>
    </cfRule>
    <cfRule type="containsText" dxfId="2658" priority="3811" operator="containsText" text="$H$11">
      <formula>NOT(ISERROR(SEARCH($H$11,E337)))</formula>
      <formula>$H$11</formula>
    </cfRule>
    <cfRule type="containsText" dxfId="2657" priority="3810" operator="containsText" text="$H$12">
      <formula>NOT(ISERROR(SEARCH($H$12,E337)))</formula>
      <formula>$H$12</formula>
    </cfRule>
    <cfRule type="containsText" dxfId="2656" priority="3809" operator="containsText" text="$H$13">
      <formula>NOT(ISERROR(SEARCH($H$13,E337)))</formula>
      <formula>$H$13</formula>
    </cfRule>
  </conditionalFormatting>
  <conditionalFormatting sqref="F339">
    <cfRule type="containsText" dxfId="2655" priority="3808" operator="containsText" text="$H$7">
      <formula>NOT(ISERROR(SEARCH($H$7,F339)))</formula>
      <formula>$H$7</formula>
    </cfRule>
    <cfRule type="containsText" dxfId="2654" priority="3807" operator="containsText" text="$H$8">
      <formula>NOT(ISERROR(SEARCH($H$8,F339)))</formula>
      <formula>$H$8</formula>
    </cfRule>
    <cfRule type="containsText" dxfId="2653" priority="3806" operator="containsText" text="$H$8">
      <formula>NOT(ISERROR(SEARCH($H$8,F339)))</formula>
      <formula>$H$8</formula>
    </cfRule>
    <cfRule type="containsText" dxfId="2652" priority="3805" operator="containsText" text="$H$9">
      <formula>NOT(ISERROR(SEARCH($H$9,F339)))</formula>
      <formula>$H$9</formula>
    </cfRule>
    <cfRule type="containsText" dxfId="2651" priority="3804" operator="containsText" text="$H$10">
      <formula>NOT(ISERROR(SEARCH($H$10,F339)))</formula>
      <formula>$H$10</formula>
    </cfRule>
    <cfRule type="containsText" dxfId="2650" priority="3803" operator="containsText" text="$H$11">
      <formula>NOT(ISERROR(SEARCH($H$11,F339)))</formula>
      <formula>$H$11</formula>
    </cfRule>
    <cfRule type="containsText" dxfId="2649" priority="3802" operator="containsText" text="$H$12">
      <formula>NOT(ISERROR(SEARCH($H$12,F339)))</formula>
      <formula>$H$12</formula>
    </cfRule>
    <cfRule type="containsText" dxfId="2648" priority="3801" operator="containsText" text="$H$13">
      <formula>NOT(ISERROR(SEARCH($H$13,F339)))</formula>
      <formula>$H$13</formula>
    </cfRule>
  </conditionalFormatting>
  <conditionalFormatting sqref="F339">
    <cfRule type="containsText" dxfId="2647" priority="3800" operator="containsText" text="$H$7">
      <formula>NOT(ISERROR(SEARCH($H$7,F339)))</formula>
      <formula>$H$7</formula>
    </cfRule>
    <cfRule type="containsText" dxfId="2646" priority="3799" operator="containsText" text="$H$8">
      <formula>NOT(ISERROR(SEARCH($H$8,F339)))</formula>
      <formula>$H$8</formula>
    </cfRule>
    <cfRule type="containsText" dxfId="2645" priority="3798" operator="containsText" text="$H$8">
      <formula>NOT(ISERROR(SEARCH($H$8,F339)))</formula>
      <formula>$H$8</formula>
    </cfRule>
    <cfRule type="containsText" dxfId="2644" priority="3797" operator="containsText" text="$H$9">
      <formula>NOT(ISERROR(SEARCH($H$9,F339)))</formula>
      <formula>$H$9</formula>
    </cfRule>
    <cfRule type="containsText" dxfId="2643" priority="3796" operator="containsText" text="$H$10">
      <formula>NOT(ISERROR(SEARCH($H$10,F339)))</formula>
      <formula>$H$10</formula>
    </cfRule>
    <cfRule type="containsText" dxfId="2642" priority="3795" operator="containsText" text="$H$11">
      <formula>NOT(ISERROR(SEARCH($H$11,F339)))</formula>
      <formula>$H$11</formula>
    </cfRule>
    <cfRule type="containsText" dxfId="2641" priority="3794" operator="containsText" text="$H$12">
      <formula>NOT(ISERROR(SEARCH($H$12,F339)))</formula>
      <formula>$H$12</formula>
    </cfRule>
    <cfRule type="containsText" dxfId="2640" priority="3793" operator="containsText" text="$H$13">
      <formula>NOT(ISERROR(SEARCH($H$13,F339)))</formula>
      <formula>$H$13</formula>
    </cfRule>
  </conditionalFormatting>
  <conditionalFormatting sqref="F341">
    <cfRule type="containsText" dxfId="2639" priority="3792" operator="containsText" text="$H$7">
      <formula>NOT(ISERROR(SEARCH($H$7,F341)))</formula>
      <formula>$H$7</formula>
    </cfRule>
    <cfRule type="containsText" dxfId="2638" priority="3791" operator="containsText" text="$H$8">
      <formula>NOT(ISERROR(SEARCH($H$8,F341)))</formula>
      <formula>$H$8</formula>
    </cfRule>
    <cfRule type="containsText" dxfId="2637" priority="3790" operator="containsText" text="$H$8">
      <formula>NOT(ISERROR(SEARCH($H$8,F341)))</formula>
      <formula>$H$8</formula>
    </cfRule>
    <cfRule type="containsText" dxfId="2636" priority="3789" operator="containsText" text="$H$9">
      <formula>NOT(ISERROR(SEARCH($H$9,F341)))</formula>
      <formula>$H$9</formula>
    </cfRule>
    <cfRule type="containsText" dxfId="2635" priority="3788" operator="containsText" text="$H$10">
      <formula>NOT(ISERROR(SEARCH($H$10,F341)))</formula>
      <formula>$H$10</formula>
    </cfRule>
    <cfRule type="containsText" dxfId="2634" priority="3787" operator="containsText" text="$H$11">
      <formula>NOT(ISERROR(SEARCH($H$11,F341)))</formula>
      <formula>$H$11</formula>
    </cfRule>
    <cfRule type="containsText" dxfId="2633" priority="3786" operator="containsText" text="$H$12">
      <formula>NOT(ISERROR(SEARCH($H$12,F341)))</formula>
      <formula>$H$12</formula>
    </cfRule>
    <cfRule type="containsText" dxfId="2632" priority="3785" operator="containsText" text="$H$13">
      <formula>NOT(ISERROR(SEARCH($H$13,F341)))</formula>
      <formula>$H$13</formula>
    </cfRule>
  </conditionalFormatting>
  <conditionalFormatting sqref="F341">
    <cfRule type="containsText" dxfId="2631" priority="3784" operator="containsText" text="$H$7">
      <formula>NOT(ISERROR(SEARCH($H$7,F341)))</formula>
      <formula>$H$7</formula>
    </cfRule>
    <cfRule type="containsText" dxfId="2630" priority="3783" operator="containsText" text="$H$8">
      <formula>NOT(ISERROR(SEARCH($H$8,F341)))</formula>
      <formula>$H$8</formula>
    </cfRule>
    <cfRule type="containsText" dxfId="2629" priority="3782" operator="containsText" text="$H$8">
      <formula>NOT(ISERROR(SEARCH($H$8,F341)))</formula>
      <formula>$H$8</formula>
    </cfRule>
    <cfRule type="containsText" dxfId="2628" priority="3781" operator="containsText" text="$H$9">
      <formula>NOT(ISERROR(SEARCH($H$9,F341)))</formula>
      <formula>$H$9</formula>
    </cfRule>
    <cfRule type="containsText" dxfId="2627" priority="3780" operator="containsText" text="$H$10">
      <formula>NOT(ISERROR(SEARCH($H$10,F341)))</formula>
      <formula>$H$10</formula>
    </cfRule>
    <cfRule type="containsText" dxfId="2626" priority="3779" operator="containsText" text="$H$11">
      <formula>NOT(ISERROR(SEARCH($H$11,F341)))</formula>
      <formula>$H$11</formula>
    </cfRule>
    <cfRule type="containsText" dxfId="2625" priority="3778" operator="containsText" text="$H$12">
      <formula>NOT(ISERROR(SEARCH($H$12,F341)))</formula>
      <formula>$H$12</formula>
    </cfRule>
    <cfRule type="containsText" dxfId="2624" priority="3777" operator="containsText" text="$H$13">
      <formula>NOT(ISERROR(SEARCH($H$13,F341)))</formula>
      <formula>$H$13</formula>
    </cfRule>
  </conditionalFormatting>
  <conditionalFormatting sqref="F343">
    <cfRule type="containsText" dxfId="2623" priority="3776" operator="containsText" text="$H$7">
      <formula>NOT(ISERROR(SEARCH($H$7,F343)))</formula>
      <formula>$H$7</formula>
    </cfRule>
    <cfRule type="containsText" dxfId="2622" priority="3775" operator="containsText" text="$H$8">
      <formula>NOT(ISERROR(SEARCH($H$8,F343)))</formula>
      <formula>$H$8</formula>
    </cfRule>
    <cfRule type="containsText" dxfId="2621" priority="3774" operator="containsText" text="$H$8">
      <formula>NOT(ISERROR(SEARCH($H$8,F343)))</formula>
      <formula>$H$8</formula>
    </cfRule>
    <cfRule type="containsText" dxfId="2620" priority="3773" operator="containsText" text="$H$9">
      <formula>NOT(ISERROR(SEARCH($H$9,F343)))</formula>
      <formula>$H$9</formula>
    </cfRule>
    <cfRule type="containsText" dxfId="2619" priority="3772" operator="containsText" text="$H$10">
      <formula>NOT(ISERROR(SEARCH($H$10,F343)))</formula>
      <formula>$H$10</formula>
    </cfRule>
    <cfRule type="containsText" dxfId="2618" priority="3771" operator="containsText" text="$H$11">
      <formula>NOT(ISERROR(SEARCH($H$11,F343)))</formula>
      <formula>$H$11</formula>
    </cfRule>
    <cfRule type="containsText" dxfId="2617" priority="3770" operator="containsText" text="$H$12">
      <formula>NOT(ISERROR(SEARCH($H$12,F343)))</formula>
      <formula>$H$12</formula>
    </cfRule>
    <cfRule type="containsText" dxfId="2616" priority="3769" operator="containsText" text="$H$13">
      <formula>NOT(ISERROR(SEARCH($H$13,F343)))</formula>
      <formula>$H$13</formula>
    </cfRule>
  </conditionalFormatting>
  <conditionalFormatting sqref="F343">
    <cfRule type="containsText" dxfId="2615" priority="3768" operator="containsText" text="$H$7">
      <formula>NOT(ISERROR(SEARCH($H$7,F343)))</formula>
      <formula>$H$7</formula>
    </cfRule>
    <cfRule type="containsText" dxfId="2614" priority="3767" operator="containsText" text="$H$8">
      <formula>NOT(ISERROR(SEARCH($H$8,F343)))</formula>
      <formula>$H$8</formula>
    </cfRule>
    <cfRule type="containsText" dxfId="2613" priority="3766" operator="containsText" text="$H$8">
      <formula>NOT(ISERROR(SEARCH($H$8,F343)))</formula>
      <formula>$H$8</formula>
    </cfRule>
    <cfRule type="containsText" dxfId="2612" priority="3765" operator="containsText" text="$H$9">
      <formula>NOT(ISERROR(SEARCH($H$9,F343)))</formula>
      <formula>$H$9</formula>
    </cfRule>
    <cfRule type="containsText" dxfId="2611" priority="3764" operator="containsText" text="$H$10">
      <formula>NOT(ISERROR(SEARCH($H$10,F343)))</formula>
      <formula>$H$10</formula>
    </cfRule>
    <cfRule type="containsText" dxfId="2610" priority="3763" operator="containsText" text="$H$11">
      <formula>NOT(ISERROR(SEARCH($H$11,F343)))</formula>
      <formula>$H$11</formula>
    </cfRule>
    <cfRule type="containsText" dxfId="2609" priority="3762" operator="containsText" text="$H$12">
      <formula>NOT(ISERROR(SEARCH($H$12,F343)))</formula>
      <formula>$H$12</formula>
    </cfRule>
    <cfRule type="containsText" dxfId="2608" priority="3761" operator="containsText" text="$H$13">
      <formula>NOT(ISERROR(SEARCH($H$13,F343)))</formula>
      <formula>$H$13</formula>
    </cfRule>
  </conditionalFormatting>
  <conditionalFormatting sqref="F345">
    <cfRule type="containsText" dxfId="2607" priority="3760" operator="containsText" text="$H$7">
      <formula>NOT(ISERROR(SEARCH($H$7,F345)))</formula>
      <formula>$H$7</formula>
    </cfRule>
    <cfRule type="containsText" dxfId="2606" priority="3759" operator="containsText" text="$H$8">
      <formula>NOT(ISERROR(SEARCH($H$8,F345)))</formula>
      <formula>$H$8</formula>
    </cfRule>
    <cfRule type="containsText" dxfId="2605" priority="3758" operator="containsText" text="$H$8">
      <formula>NOT(ISERROR(SEARCH($H$8,F345)))</formula>
      <formula>$H$8</formula>
    </cfRule>
    <cfRule type="containsText" dxfId="2604" priority="3757" operator="containsText" text="$H$9">
      <formula>NOT(ISERROR(SEARCH($H$9,F345)))</formula>
      <formula>$H$9</formula>
    </cfRule>
    <cfRule type="containsText" dxfId="2603" priority="3756" operator="containsText" text="$H$10">
      <formula>NOT(ISERROR(SEARCH($H$10,F345)))</formula>
      <formula>$H$10</formula>
    </cfRule>
    <cfRule type="containsText" dxfId="2602" priority="3755" operator="containsText" text="$H$11">
      <formula>NOT(ISERROR(SEARCH($H$11,F345)))</formula>
      <formula>$H$11</formula>
    </cfRule>
    <cfRule type="containsText" dxfId="2601" priority="3754" operator="containsText" text="$H$12">
      <formula>NOT(ISERROR(SEARCH($H$12,F345)))</formula>
      <formula>$H$12</formula>
    </cfRule>
    <cfRule type="containsText" dxfId="2600" priority="3753" operator="containsText" text="$H$13">
      <formula>NOT(ISERROR(SEARCH($H$13,F345)))</formula>
      <formula>$H$13</formula>
    </cfRule>
  </conditionalFormatting>
  <conditionalFormatting sqref="F345">
    <cfRule type="containsText" dxfId="2599" priority="3752" operator="containsText" text="$H$7">
      <formula>NOT(ISERROR(SEARCH($H$7,F345)))</formula>
      <formula>$H$7</formula>
    </cfRule>
    <cfRule type="containsText" dxfId="2598" priority="3751" operator="containsText" text="$H$8">
      <formula>NOT(ISERROR(SEARCH($H$8,F345)))</formula>
      <formula>$H$8</formula>
    </cfRule>
    <cfRule type="containsText" dxfId="2597" priority="3750" operator="containsText" text="$H$8">
      <formula>NOT(ISERROR(SEARCH($H$8,F345)))</formula>
      <formula>$H$8</formula>
    </cfRule>
    <cfRule type="containsText" dxfId="2596" priority="3749" operator="containsText" text="$H$9">
      <formula>NOT(ISERROR(SEARCH($H$9,F345)))</formula>
      <formula>$H$9</formula>
    </cfRule>
    <cfRule type="containsText" dxfId="2595" priority="3748" operator="containsText" text="$H$10">
      <formula>NOT(ISERROR(SEARCH($H$10,F345)))</formula>
      <formula>$H$10</formula>
    </cfRule>
    <cfRule type="containsText" dxfId="2594" priority="3747" operator="containsText" text="$H$11">
      <formula>NOT(ISERROR(SEARCH($H$11,F345)))</formula>
      <formula>$H$11</formula>
    </cfRule>
    <cfRule type="containsText" dxfId="2593" priority="3746" operator="containsText" text="$H$12">
      <formula>NOT(ISERROR(SEARCH($H$12,F345)))</formula>
      <formula>$H$12</formula>
    </cfRule>
    <cfRule type="containsText" dxfId="2592" priority="3745" operator="containsText" text="$H$13">
      <formula>NOT(ISERROR(SEARCH($H$13,F345)))</formula>
      <formula>$H$13</formula>
    </cfRule>
  </conditionalFormatting>
  <conditionalFormatting sqref="E353">
    <cfRule type="containsText" dxfId="2591" priority="3744" operator="containsText" text="$H$7">
      <formula>NOT(ISERROR(SEARCH($H$7,E353)))</formula>
      <formula>$H$7</formula>
    </cfRule>
    <cfRule type="containsText" dxfId="2590" priority="3743" operator="containsText" text="$H$8">
      <formula>NOT(ISERROR(SEARCH($H$8,E353)))</formula>
      <formula>$H$8</formula>
    </cfRule>
    <cfRule type="containsText" dxfId="2589" priority="3742" operator="containsText" text="$H$8">
      <formula>NOT(ISERROR(SEARCH($H$8,E353)))</formula>
      <formula>$H$8</formula>
    </cfRule>
    <cfRule type="containsText" dxfId="2588" priority="3741" operator="containsText" text="$H$9">
      <formula>NOT(ISERROR(SEARCH($H$9,E353)))</formula>
      <formula>$H$9</formula>
    </cfRule>
    <cfRule type="containsText" dxfId="2587" priority="3740" operator="containsText" text="$H$10">
      <formula>NOT(ISERROR(SEARCH($H$10,E353)))</formula>
      <formula>$H$10</formula>
    </cfRule>
    <cfRule type="containsText" dxfId="2586" priority="3739" operator="containsText" text="$H$11">
      <formula>NOT(ISERROR(SEARCH($H$11,E353)))</formula>
      <formula>$H$11</formula>
    </cfRule>
    <cfRule type="containsText" dxfId="2585" priority="3738" operator="containsText" text="$H$12">
      <formula>NOT(ISERROR(SEARCH($H$12,E353)))</formula>
      <formula>$H$12</formula>
    </cfRule>
    <cfRule type="containsText" dxfId="2584" priority="3737" operator="containsText" text="$H$13">
      <formula>NOT(ISERROR(SEARCH($H$13,E353)))</formula>
      <formula>$H$13</formula>
    </cfRule>
  </conditionalFormatting>
  <conditionalFormatting sqref="E353">
    <cfRule type="containsText" dxfId="2583" priority="3736" operator="containsText" text="$H$7">
      <formula>NOT(ISERROR(SEARCH($H$7,E353)))</formula>
      <formula>$H$7</formula>
    </cfRule>
    <cfRule type="containsText" dxfId="2582" priority="3735" operator="containsText" text="$H$8">
      <formula>NOT(ISERROR(SEARCH($H$8,E353)))</formula>
      <formula>$H$8</formula>
    </cfRule>
    <cfRule type="containsText" dxfId="2581" priority="3734" operator="containsText" text="$H$8">
      <formula>NOT(ISERROR(SEARCH($H$8,E353)))</formula>
      <formula>$H$8</formula>
    </cfRule>
    <cfRule type="containsText" dxfId="2580" priority="3733" operator="containsText" text="$H$9">
      <formula>NOT(ISERROR(SEARCH($H$9,E353)))</formula>
      <formula>$H$9</formula>
    </cfRule>
    <cfRule type="containsText" dxfId="2579" priority="3732" operator="containsText" text="$H$10">
      <formula>NOT(ISERROR(SEARCH($H$10,E353)))</formula>
      <formula>$H$10</formula>
    </cfRule>
    <cfRule type="containsText" dxfId="2578" priority="3731" operator="containsText" text="$H$11">
      <formula>NOT(ISERROR(SEARCH($H$11,E353)))</formula>
      <formula>$H$11</formula>
    </cfRule>
    <cfRule type="containsText" dxfId="2577" priority="3730" operator="containsText" text="$H$12">
      <formula>NOT(ISERROR(SEARCH($H$12,E353)))</formula>
      <formula>$H$12</formula>
    </cfRule>
    <cfRule type="containsText" dxfId="2576" priority="3729" operator="containsText" text="$H$13">
      <formula>NOT(ISERROR(SEARCH($H$13,E353)))</formula>
      <formula>$H$13</formula>
    </cfRule>
  </conditionalFormatting>
  <conditionalFormatting sqref="E355">
    <cfRule type="containsText" dxfId="2575" priority="3728" operator="containsText" text="$H$7">
      <formula>NOT(ISERROR(SEARCH($H$7,E355)))</formula>
      <formula>$H$7</formula>
    </cfRule>
    <cfRule type="containsText" dxfId="2574" priority="3727" operator="containsText" text="$H$8">
      <formula>NOT(ISERROR(SEARCH($H$8,E355)))</formula>
      <formula>$H$8</formula>
    </cfRule>
    <cfRule type="containsText" dxfId="2573" priority="3726" operator="containsText" text="$H$8">
      <formula>NOT(ISERROR(SEARCH($H$8,E355)))</formula>
      <formula>$H$8</formula>
    </cfRule>
    <cfRule type="containsText" dxfId="2572" priority="3725" operator="containsText" text="$H$9">
      <formula>NOT(ISERROR(SEARCH($H$9,E355)))</formula>
      <formula>$H$9</formula>
    </cfRule>
    <cfRule type="containsText" dxfId="2571" priority="3724" operator="containsText" text="$H$10">
      <formula>NOT(ISERROR(SEARCH($H$10,E355)))</formula>
      <formula>$H$10</formula>
    </cfRule>
    <cfRule type="containsText" dxfId="2570" priority="3723" operator="containsText" text="$H$11">
      <formula>NOT(ISERROR(SEARCH($H$11,E355)))</formula>
      <formula>$H$11</formula>
    </cfRule>
    <cfRule type="containsText" dxfId="2569" priority="3722" operator="containsText" text="$H$12">
      <formula>NOT(ISERROR(SEARCH($H$12,E355)))</formula>
      <formula>$H$12</formula>
    </cfRule>
    <cfRule type="containsText" dxfId="2568" priority="3721" operator="containsText" text="$H$13">
      <formula>NOT(ISERROR(SEARCH($H$13,E355)))</formula>
      <formula>$H$13</formula>
    </cfRule>
  </conditionalFormatting>
  <conditionalFormatting sqref="E355">
    <cfRule type="containsText" dxfId="2567" priority="3720" operator="containsText" text="$H$7">
      <formula>NOT(ISERROR(SEARCH($H$7,E355)))</formula>
      <formula>$H$7</formula>
    </cfRule>
    <cfRule type="containsText" dxfId="2566" priority="3719" operator="containsText" text="$H$8">
      <formula>NOT(ISERROR(SEARCH($H$8,E355)))</formula>
      <formula>$H$8</formula>
    </cfRule>
    <cfRule type="containsText" dxfId="2565" priority="3718" operator="containsText" text="$H$8">
      <formula>NOT(ISERROR(SEARCH($H$8,E355)))</formula>
      <formula>$H$8</formula>
    </cfRule>
    <cfRule type="containsText" dxfId="2564" priority="3717" operator="containsText" text="$H$9">
      <formula>NOT(ISERROR(SEARCH($H$9,E355)))</formula>
      <formula>$H$9</formula>
    </cfRule>
    <cfRule type="containsText" dxfId="2563" priority="3716" operator="containsText" text="$H$10">
      <formula>NOT(ISERROR(SEARCH($H$10,E355)))</formula>
      <formula>$H$10</formula>
    </cfRule>
    <cfRule type="containsText" dxfId="2562" priority="3715" operator="containsText" text="$H$11">
      <formula>NOT(ISERROR(SEARCH($H$11,E355)))</formula>
      <formula>$H$11</formula>
    </cfRule>
    <cfRule type="containsText" dxfId="2561" priority="3714" operator="containsText" text="$H$12">
      <formula>NOT(ISERROR(SEARCH($H$12,E355)))</formula>
      <formula>$H$12</formula>
    </cfRule>
    <cfRule type="containsText" dxfId="2560" priority="3713" operator="containsText" text="$H$13">
      <formula>NOT(ISERROR(SEARCH($H$13,E355)))</formula>
      <formula>$H$13</formula>
    </cfRule>
  </conditionalFormatting>
  <conditionalFormatting sqref="C367">
    <cfRule type="containsText" dxfId="2559" priority="3712" operator="containsText" text="$H$7">
      <formula>NOT(ISERROR(SEARCH($H$7,C367)))</formula>
      <formula>$H$7</formula>
    </cfRule>
    <cfRule type="containsText" dxfId="2558" priority="3711" operator="containsText" text="$H$8">
      <formula>NOT(ISERROR(SEARCH($H$8,C367)))</formula>
      <formula>$H$8</formula>
    </cfRule>
    <cfRule type="containsText" dxfId="2557" priority="3710" operator="containsText" text="$H$8">
      <formula>NOT(ISERROR(SEARCH($H$8,C367)))</formula>
      <formula>$H$8</formula>
    </cfRule>
    <cfRule type="containsText" dxfId="2556" priority="3709" operator="containsText" text="$H$9">
      <formula>NOT(ISERROR(SEARCH($H$9,C367)))</formula>
      <formula>$H$9</formula>
    </cfRule>
    <cfRule type="containsText" dxfId="2555" priority="3708" operator="containsText" text="$H$10">
      <formula>NOT(ISERROR(SEARCH($H$10,C367)))</formula>
      <formula>$H$10</formula>
    </cfRule>
    <cfRule type="containsText" dxfId="2554" priority="3707" operator="containsText" text="$H$11">
      <formula>NOT(ISERROR(SEARCH($H$11,C367)))</formula>
      <formula>$H$11</formula>
    </cfRule>
    <cfRule type="containsText" dxfId="2553" priority="3706" operator="containsText" text="$H$12">
      <formula>NOT(ISERROR(SEARCH($H$12,C367)))</formula>
      <formula>$H$12</formula>
    </cfRule>
    <cfRule type="containsText" dxfId="2552" priority="3705" operator="containsText" text="$H$13">
      <formula>NOT(ISERROR(SEARCH($H$13,C367)))</formula>
      <formula>$H$13</formula>
    </cfRule>
  </conditionalFormatting>
  <conditionalFormatting sqref="C367">
    <cfRule type="containsText" dxfId="2551" priority="3704" operator="containsText" text="$H$7">
      <formula>NOT(ISERROR(SEARCH($H$7,C367)))</formula>
      <formula>$H$7</formula>
    </cfRule>
    <cfRule type="containsText" dxfId="2550" priority="3703" operator="containsText" text="$H$8">
      <formula>NOT(ISERROR(SEARCH($H$8,C367)))</formula>
      <formula>$H$8</formula>
    </cfRule>
    <cfRule type="containsText" dxfId="2549" priority="3702" operator="containsText" text="$H$8">
      <formula>NOT(ISERROR(SEARCH($H$8,C367)))</formula>
      <formula>$H$8</formula>
    </cfRule>
    <cfRule type="containsText" dxfId="2548" priority="3701" operator="containsText" text="$H$9">
      <formula>NOT(ISERROR(SEARCH($H$9,C367)))</formula>
      <formula>$H$9</formula>
    </cfRule>
    <cfRule type="containsText" dxfId="2547" priority="3700" operator="containsText" text="$H$10">
      <formula>NOT(ISERROR(SEARCH($H$10,C367)))</formula>
      <formula>$H$10</formula>
    </cfRule>
    <cfRule type="containsText" dxfId="2546" priority="3699" operator="containsText" text="$H$11">
      <formula>NOT(ISERROR(SEARCH($H$11,C367)))</formula>
      <formula>$H$11</formula>
    </cfRule>
    <cfRule type="containsText" dxfId="2545" priority="3698" operator="containsText" text="$H$12">
      <formula>NOT(ISERROR(SEARCH($H$12,C367)))</formula>
      <formula>$H$12</formula>
    </cfRule>
    <cfRule type="containsText" dxfId="2544" priority="3697" operator="containsText" text="$H$13">
      <formula>NOT(ISERROR(SEARCH($H$13,C367)))</formula>
      <formula>$H$13</formula>
    </cfRule>
  </conditionalFormatting>
  <conditionalFormatting sqref="C369">
    <cfRule type="containsText" dxfId="2543" priority="3696" operator="containsText" text="$H$7">
      <formula>NOT(ISERROR(SEARCH($H$7,C369)))</formula>
      <formula>$H$7</formula>
    </cfRule>
    <cfRule type="containsText" dxfId="2542" priority="3695" operator="containsText" text="$H$8">
      <formula>NOT(ISERROR(SEARCH($H$8,C369)))</formula>
      <formula>$H$8</formula>
    </cfRule>
    <cfRule type="containsText" dxfId="2541" priority="3694" operator="containsText" text="$H$8">
      <formula>NOT(ISERROR(SEARCH($H$8,C369)))</formula>
      <formula>$H$8</formula>
    </cfRule>
    <cfRule type="containsText" dxfId="2540" priority="3693" operator="containsText" text="$H$9">
      <formula>NOT(ISERROR(SEARCH($H$9,C369)))</formula>
      <formula>$H$9</formula>
    </cfRule>
    <cfRule type="containsText" dxfId="2539" priority="3692" operator="containsText" text="$H$10">
      <formula>NOT(ISERROR(SEARCH($H$10,C369)))</formula>
      <formula>$H$10</formula>
    </cfRule>
    <cfRule type="containsText" dxfId="2538" priority="3691" operator="containsText" text="$H$11">
      <formula>NOT(ISERROR(SEARCH($H$11,C369)))</formula>
      <formula>$H$11</formula>
    </cfRule>
    <cfRule type="containsText" dxfId="2537" priority="3690" operator="containsText" text="$H$12">
      <formula>NOT(ISERROR(SEARCH($H$12,C369)))</formula>
      <formula>$H$12</formula>
    </cfRule>
    <cfRule type="containsText" dxfId="2536" priority="3689" operator="containsText" text="$H$13">
      <formula>NOT(ISERROR(SEARCH($H$13,C369)))</formula>
      <formula>$H$13</formula>
    </cfRule>
  </conditionalFormatting>
  <conditionalFormatting sqref="C369">
    <cfRule type="containsText" dxfId="2535" priority="3688" operator="containsText" text="$H$7">
      <formula>NOT(ISERROR(SEARCH($H$7,C369)))</formula>
      <formula>$H$7</formula>
    </cfRule>
    <cfRule type="containsText" dxfId="2534" priority="3687" operator="containsText" text="$H$8">
      <formula>NOT(ISERROR(SEARCH($H$8,C369)))</formula>
      <formula>$H$8</formula>
    </cfRule>
    <cfRule type="containsText" dxfId="2533" priority="3686" operator="containsText" text="$H$8">
      <formula>NOT(ISERROR(SEARCH($H$8,C369)))</formula>
      <formula>$H$8</formula>
    </cfRule>
    <cfRule type="containsText" dxfId="2532" priority="3685" operator="containsText" text="$H$9">
      <formula>NOT(ISERROR(SEARCH($H$9,C369)))</formula>
      <formula>$H$9</formula>
    </cfRule>
    <cfRule type="containsText" dxfId="2531" priority="3684" operator="containsText" text="$H$10">
      <formula>NOT(ISERROR(SEARCH($H$10,C369)))</formula>
      <formula>$H$10</formula>
    </cfRule>
    <cfRule type="containsText" dxfId="2530" priority="3683" operator="containsText" text="$H$11">
      <formula>NOT(ISERROR(SEARCH($H$11,C369)))</formula>
      <formula>$H$11</formula>
    </cfRule>
    <cfRule type="containsText" dxfId="2529" priority="3682" operator="containsText" text="$H$12">
      <formula>NOT(ISERROR(SEARCH($H$12,C369)))</formula>
      <formula>$H$12</formula>
    </cfRule>
    <cfRule type="containsText" dxfId="2528" priority="3681" operator="containsText" text="$H$13">
      <formula>NOT(ISERROR(SEARCH($H$13,C369)))</formula>
      <formula>$H$13</formula>
    </cfRule>
  </conditionalFormatting>
  <conditionalFormatting sqref="C371">
    <cfRule type="containsText" dxfId="2527" priority="3680" operator="containsText" text="$H$7">
      <formula>NOT(ISERROR(SEARCH($H$7,C371)))</formula>
      <formula>$H$7</formula>
    </cfRule>
    <cfRule type="containsText" dxfId="2526" priority="3679" operator="containsText" text="$H$8">
      <formula>NOT(ISERROR(SEARCH($H$8,C371)))</formula>
      <formula>$H$8</formula>
    </cfRule>
    <cfRule type="containsText" dxfId="2525" priority="3678" operator="containsText" text="$H$8">
      <formula>NOT(ISERROR(SEARCH($H$8,C371)))</formula>
      <formula>$H$8</formula>
    </cfRule>
    <cfRule type="containsText" dxfId="2524" priority="3677" operator="containsText" text="$H$9">
      <formula>NOT(ISERROR(SEARCH($H$9,C371)))</formula>
      <formula>$H$9</formula>
    </cfRule>
    <cfRule type="containsText" dxfId="2523" priority="3676" operator="containsText" text="$H$10">
      <formula>NOT(ISERROR(SEARCH($H$10,C371)))</formula>
      <formula>$H$10</formula>
    </cfRule>
    <cfRule type="containsText" dxfId="2522" priority="3675" operator="containsText" text="$H$11">
      <formula>NOT(ISERROR(SEARCH($H$11,C371)))</formula>
      <formula>$H$11</formula>
    </cfRule>
    <cfRule type="containsText" dxfId="2521" priority="3674" operator="containsText" text="$H$12">
      <formula>NOT(ISERROR(SEARCH($H$12,C371)))</formula>
      <formula>$H$12</formula>
    </cfRule>
    <cfRule type="containsText" dxfId="2520" priority="3673" operator="containsText" text="$H$13">
      <formula>NOT(ISERROR(SEARCH($H$13,C371)))</formula>
      <formula>$H$13</formula>
    </cfRule>
  </conditionalFormatting>
  <conditionalFormatting sqref="C371">
    <cfRule type="containsText" dxfId="2519" priority="3672" operator="containsText" text="$H$7">
      <formula>NOT(ISERROR(SEARCH($H$7,C371)))</formula>
      <formula>$H$7</formula>
    </cfRule>
    <cfRule type="containsText" dxfId="2518" priority="3671" operator="containsText" text="$H$8">
      <formula>NOT(ISERROR(SEARCH($H$8,C371)))</formula>
      <formula>$H$8</formula>
    </cfRule>
    <cfRule type="containsText" dxfId="2517" priority="3670" operator="containsText" text="$H$8">
      <formula>NOT(ISERROR(SEARCH($H$8,C371)))</formula>
      <formula>$H$8</formula>
    </cfRule>
    <cfRule type="containsText" dxfId="2516" priority="3669" operator="containsText" text="$H$9">
      <formula>NOT(ISERROR(SEARCH($H$9,C371)))</formula>
      <formula>$H$9</formula>
    </cfRule>
    <cfRule type="containsText" dxfId="2515" priority="3668" operator="containsText" text="$H$10">
      <formula>NOT(ISERROR(SEARCH($H$10,C371)))</formula>
      <formula>$H$10</formula>
    </cfRule>
    <cfRule type="containsText" dxfId="2514" priority="3667" operator="containsText" text="$H$11">
      <formula>NOT(ISERROR(SEARCH($H$11,C371)))</formula>
      <formula>$H$11</formula>
    </cfRule>
    <cfRule type="containsText" dxfId="2513" priority="3666" operator="containsText" text="$H$12">
      <formula>NOT(ISERROR(SEARCH($H$12,C371)))</formula>
      <formula>$H$12</formula>
    </cfRule>
    <cfRule type="containsText" dxfId="2512" priority="3665" operator="containsText" text="$H$13">
      <formula>NOT(ISERROR(SEARCH($H$13,C371)))</formula>
      <formula>$H$13</formula>
    </cfRule>
  </conditionalFormatting>
  <conditionalFormatting sqref="C373">
    <cfRule type="containsText" dxfId="2511" priority="3664" operator="containsText" text="$H$7">
      <formula>NOT(ISERROR(SEARCH($H$7,C373)))</formula>
      <formula>$H$7</formula>
    </cfRule>
    <cfRule type="containsText" dxfId="2510" priority="3663" operator="containsText" text="$H$8">
      <formula>NOT(ISERROR(SEARCH($H$8,C373)))</formula>
      <formula>$H$8</formula>
    </cfRule>
    <cfRule type="containsText" dxfId="2509" priority="3662" operator="containsText" text="$H$8">
      <formula>NOT(ISERROR(SEARCH($H$8,C373)))</formula>
      <formula>$H$8</formula>
    </cfRule>
    <cfRule type="containsText" dxfId="2508" priority="3661" operator="containsText" text="$H$9">
      <formula>NOT(ISERROR(SEARCH($H$9,C373)))</formula>
      <formula>$H$9</formula>
    </cfRule>
    <cfRule type="containsText" dxfId="2507" priority="3660" operator="containsText" text="$H$10">
      <formula>NOT(ISERROR(SEARCH($H$10,C373)))</formula>
      <formula>$H$10</formula>
    </cfRule>
    <cfRule type="containsText" dxfId="2506" priority="3659" operator="containsText" text="$H$11">
      <formula>NOT(ISERROR(SEARCH($H$11,C373)))</formula>
      <formula>$H$11</formula>
    </cfRule>
    <cfRule type="containsText" dxfId="2505" priority="3658" operator="containsText" text="$H$12">
      <formula>NOT(ISERROR(SEARCH($H$12,C373)))</formula>
      <formula>$H$12</formula>
    </cfRule>
    <cfRule type="containsText" dxfId="2504" priority="3657" operator="containsText" text="$H$13">
      <formula>NOT(ISERROR(SEARCH($H$13,C373)))</formula>
      <formula>$H$13</formula>
    </cfRule>
  </conditionalFormatting>
  <conditionalFormatting sqref="C373">
    <cfRule type="containsText" dxfId="2503" priority="3656" operator="containsText" text="$H$7">
      <formula>NOT(ISERROR(SEARCH($H$7,C373)))</formula>
      <formula>$H$7</formula>
    </cfRule>
    <cfRule type="containsText" dxfId="2502" priority="3655" operator="containsText" text="$H$8">
      <formula>NOT(ISERROR(SEARCH($H$8,C373)))</formula>
      <formula>$H$8</formula>
    </cfRule>
    <cfRule type="containsText" dxfId="2501" priority="3654" operator="containsText" text="$H$8">
      <formula>NOT(ISERROR(SEARCH($H$8,C373)))</formula>
      <formula>$H$8</formula>
    </cfRule>
    <cfRule type="containsText" dxfId="2500" priority="3653" operator="containsText" text="$H$9">
      <formula>NOT(ISERROR(SEARCH($H$9,C373)))</formula>
      <formula>$H$9</formula>
    </cfRule>
    <cfRule type="containsText" dxfId="2499" priority="3652" operator="containsText" text="$H$10">
      <formula>NOT(ISERROR(SEARCH($H$10,C373)))</formula>
      <formula>$H$10</formula>
    </cfRule>
    <cfRule type="containsText" dxfId="2498" priority="3651" operator="containsText" text="$H$11">
      <formula>NOT(ISERROR(SEARCH($H$11,C373)))</formula>
      <formula>$H$11</formula>
    </cfRule>
    <cfRule type="containsText" dxfId="2497" priority="3650" operator="containsText" text="$H$12">
      <formula>NOT(ISERROR(SEARCH($H$12,C373)))</formula>
      <formula>$H$12</formula>
    </cfRule>
    <cfRule type="containsText" dxfId="2496" priority="3649" operator="containsText" text="$H$13">
      <formula>NOT(ISERROR(SEARCH($H$13,C373)))</formula>
      <formula>$H$13</formula>
    </cfRule>
  </conditionalFormatting>
  <conditionalFormatting sqref="E367">
    <cfRule type="containsText" dxfId="2495" priority="3648" operator="containsText" text="$H$7">
      <formula>NOT(ISERROR(SEARCH($H$7,E367)))</formula>
      <formula>$H$7</formula>
    </cfRule>
    <cfRule type="containsText" dxfId="2494" priority="3647" operator="containsText" text="$H$8">
      <formula>NOT(ISERROR(SEARCH($H$8,E367)))</formula>
      <formula>$H$8</formula>
    </cfRule>
    <cfRule type="containsText" dxfId="2493" priority="3646" operator="containsText" text="$H$8">
      <formula>NOT(ISERROR(SEARCH($H$8,E367)))</formula>
      <formula>$H$8</formula>
    </cfRule>
    <cfRule type="containsText" dxfId="2492" priority="3645" operator="containsText" text="$H$9">
      <formula>NOT(ISERROR(SEARCH($H$9,E367)))</formula>
      <formula>$H$9</formula>
    </cfRule>
    <cfRule type="containsText" dxfId="2491" priority="3644" operator="containsText" text="$H$10">
      <formula>NOT(ISERROR(SEARCH($H$10,E367)))</formula>
      <formula>$H$10</formula>
    </cfRule>
    <cfRule type="containsText" dxfId="2490" priority="3643" operator="containsText" text="$H$11">
      <formula>NOT(ISERROR(SEARCH($H$11,E367)))</formula>
      <formula>$H$11</formula>
    </cfRule>
    <cfRule type="containsText" dxfId="2489" priority="3642" operator="containsText" text="$H$12">
      <formula>NOT(ISERROR(SEARCH($H$12,E367)))</formula>
      <formula>$H$12</formula>
    </cfRule>
    <cfRule type="containsText" dxfId="2488" priority="3641" operator="containsText" text="$H$13">
      <formula>NOT(ISERROR(SEARCH($H$13,E367)))</formula>
      <formula>$H$13</formula>
    </cfRule>
  </conditionalFormatting>
  <conditionalFormatting sqref="E367">
    <cfRule type="containsText" dxfId="2487" priority="3640" operator="containsText" text="$H$7">
      <formula>NOT(ISERROR(SEARCH($H$7,E367)))</formula>
      <formula>$H$7</formula>
    </cfRule>
    <cfRule type="containsText" dxfId="2486" priority="3639" operator="containsText" text="$H$8">
      <formula>NOT(ISERROR(SEARCH($H$8,E367)))</formula>
      <formula>$H$8</formula>
    </cfRule>
    <cfRule type="containsText" dxfId="2485" priority="3638" operator="containsText" text="$H$8">
      <formula>NOT(ISERROR(SEARCH($H$8,E367)))</formula>
      <formula>$H$8</formula>
    </cfRule>
    <cfRule type="containsText" dxfId="2484" priority="3637" operator="containsText" text="$H$9">
      <formula>NOT(ISERROR(SEARCH($H$9,E367)))</formula>
      <formula>$H$9</formula>
    </cfRule>
    <cfRule type="containsText" dxfId="2483" priority="3636" operator="containsText" text="$H$10">
      <formula>NOT(ISERROR(SEARCH($H$10,E367)))</formula>
      <formula>$H$10</formula>
    </cfRule>
    <cfRule type="containsText" dxfId="2482" priority="3635" operator="containsText" text="$H$11">
      <formula>NOT(ISERROR(SEARCH($H$11,E367)))</formula>
      <formula>$H$11</formula>
    </cfRule>
    <cfRule type="containsText" dxfId="2481" priority="3634" operator="containsText" text="$H$12">
      <formula>NOT(ISERROR(SEARCH($H$12,E367)))</formula>
      <formula>$H$12</formula>
    </cfRule>
    <cfRule type="containsText" dxfId="2480" priority="3633" operator="containsText" text="$H$13">
      <formula>NOT(ISERROR(SEARCH($H$13,E367)))</formula>
      <formula>$H$13</formula>
    </cfRule>
  </conditionalFormatting>
  <conditionalFormatting sqref="E369">
    <cfRule type="containsText" dxfId="2479" priority="3632" operator="containsText" text="$H$7">
      <formula>NOT(ISERROR(SEARCH($H$7,E369)))</formula>
      <formula>$H$7</formula>
    </cfRule>
    <cfRule type="containsText" dxfId="2478" priority="3631" operator="containsText" text="$H$8">
      <formula>NOT(ISERROR(SEARCH($H$8,E369)))</formula>
      <formula>$H$8</formula>
    </cfRule>
    <cfRule type="containsText" dxfId="2477" priority="3630" operator="containsText" text="$H$8">
      <formula>NOT(ISERROR(SEARCH($H$8,E369)))</formula>
      <formula>$H$8</formula>
    </cfRule>
    <cfRule type="containsText" dxfId="2476" priority="3629" operator="containsText" text="$H$9">
      <formula>NOT(ISERROR(SEARCH($H$9,E369)))</formula>
      <formula>$H$9</formula>
    </cfRule>
    <cfRule type="containsText" dxfId="2475" priority="3628" operator="containsText" text="$H$10">
      <formula>NOT(ISERROR(SEARCH($H$10,E369)))</formula>
      <formula>$H$10</formula>
    </cfRule>
    <cfRule type="containsText" dxfId="2474" priority="3627" operator="containsText" text="$H$11">
      <formula>NOT(ISERROR(SEARCH($H$11,E369)))</formula>
      <formula>$H$11</formula>
    </cfRule>
    <cfRule type="containsText" dxfId="2473" priority="3626" operator="containsText" text="$H$12">
      <formula>NOT(ISERROR(SEARCH($H$12,E369)))</formula>
      <formula>$H$12</formula>
    </cfRule>
    <cfRule type="containsText" dxfId="2472" priority="3625" operator="containsText" text="$H$13">
      <formula>NOT(ISERROR(SEARCH($H$13,E369)))</formula>
      <formula>$H$13</formula>
    </cfRule>
  </conditionalFormatting>
  <conditionalFormatting sqref="E369">
    <cfRule type="containsText" dxfId="2471" priority="3624" operator="containsText" text="$H$7">
      <formula>NOT(ISERROR(SEARCH($H$7,E369)))</formula>
      <formula>$H$7</formula>
    </cfRule>
    <cfRule type="containsText" dxfId="2470" priority="3623" operator="containsText" text="$H$8">
      <formula>NOT(ISERROR(SEARCH($H$8,E369)))</formula>
      <formula>$H$8</formula>
    </cfRule>
    <cfRule type="containsText" dxfId="2469" priority="3622" operator="containsText" text="$H$8">
      <formula>NOT(ISERROR(SEARCH($H$8,E369)))</formula>
      <formula>$H$8</formula>
    </cfRule>
    <cfRule type="containsText" dxfId="2468" priority="3621" operator="containsText" text="$H$9">
      <formula>NOT(ISERROR(SEARCH($H$9,E369)))</formula>
      <formula>$H$9</formula>
    </cfRule>
    <cfRule type="containsText" dxfId="2467" priority="3620" operator="containsText" text="$H$10">
      <formula>NOT(ISERROR(SEARCH($H$10,E369)))</formula>
      <formula>$H$10</formula>
    </cfRule>
    <cfRule type="containsText" dxfId="2466" priority="3619" operator="containsText" text="$H$11">
      <formula>NOT(ISERROR(SEARCH($H$11,E369)))</formula>
      <formula>$H$11</formula>
    </cfRule>
    <cfRule type="containsText" dxfId="2465" priority="3618" operator="containsText" text="$H$12">
      <formula>NOT(ISERROR(SEARCH($H$12,E369)))</formula>
      <formula>$H$12</formula>
    </cfRule>
    <cfRule type="containsText" dxfId="2464" priority="3617" operator="containsText" text="$H$13">
      <formula>NOT(ISERROR(SEARCH($H$13,E369)))</formula>
      <formula>$H$13</formula>
    </cfRule>
  </conditionalFormatting>
  <conditionalFormatting sqref="E371">
    <cfRule type="containsText" dxfId="2463" priority="3616" operator="containsText" text="$H$7">
      <formula>NOT(ISERROR(SEARCH($H$7,E371)))</formula>
      <formula>$H$7</formula>
    </cfRule>
    <cfRule type="containsText" dxfId="2462" priority="3615" operator="containsText" text="$H$8">
      <formula>NOT(ISERROR(SEARCH($H$8,E371)))</formula>
      <formula>$H$8</formula>
    </cfRule>
    <cfRule type="containsText" dxfId="2461" priority="3614" operator="containsText" text="$H$8">
      <formula>NOT(ISERROR(SEARCH($H$8,E371)))</formula>
      <formula>$H$8</formula>
    </cfRule>
    <cfRule type="containsText" dxfId="2460" priority="3613" operator="containsText" text="$H$9">
      <formula>NOT(ISERROR(SEARCH($H$9,E371)))</formula>
      <formula>$H$9</formula>
    </cfRule>
    <cfRule type="containsText" dxfId="2459" priority="3612" operator="containsText" text="$H$10">
      <formula>NOT(ISERROR(SEARCH($H$10,E371)))</formula>
      <formula>$H$10</formula>
    </cfRule>
    <cfRule type="containsText" dxfId="2458" priority="3611" operator="containsText" text="$H$11">
      <formula>NOT(ISERROR(SEARCH($H$11,E371)))</formula>
      <formula>$H$11</formula>
    </cfRule>
    <cfRule type="containsText" dxfId="2457" priority="3610" operator="containsText" text="$H$12">
      <formula>NOT(ISERROR(SEARCH($H$12,E371)))</formula>
      <formula>$H$12</formula>
    </cfRule>
    <cfRule type="containsText" dxfId="2456" priority="3609" operator="containsText" text="$H$13">
      <formula>NOT(ISERROR(SEARCH($H$13,E371)))</formula>
      <formula>$H$13</formula>
    </cfRule>
  </conditionalFormatting>
  <conditionalFormatting sqref="E371">
    <cfRule type="containsText" dxfId="2455" priority="3608" operator="containsText" text="$H$7">
      <formula>NOT(ISERROR(SEARCH($H$7,E371)))</formula>
      <formula>$H$7</formula>
    </cfRule>
    <cfRule type="containsText" dxfId="2454" priority="3607" operator="containsText" text="$H$8">
      <formula>NOT(ISERROR(SEARCH($H$8,E371)))</formula>
      <formula>$H$8</formula>
    </cfRule>
    <cfRule type="containsText" dxfId="2453" priority="3606" operator="containsText" text="$H$8">
      <formula>NOT(ISERROR(SEARCH($H$8,E371)))</formula>
      <formula>$H$8</formula>
    </cfRule>
    <cfRule type="containsText" dxfId="2452" priority="3605" operator="containsText" text="$H$9">
      <formula>NOT(ISERROR(SEARCH($H$9,E371)))</formula>
      <formula>$H$9</formula>
    </cfRule>
    <cfRule type="containsText" dxfId="2451" priority="3604" operator="containsText" text="$H$10">
      <formula>NOT(ISERROR(SEARCH($H$10,E371)))</formula>
      <formula>$H$10</formula>
    </cfRule>
    <cfRule type="containsText" dxfId="2450" priority="3603" operator="containsText" text="$H$11">
      <formula>NOT(ISERROR(SEARCH($H$11,E371)))</formula>
      <formula>$H$11</formula>
    </cfRule>
    <cfRule type="containsText" dxfId="2449" priority="3602" operator="containsText" text="$H$12">
      <formula>NOT(ISERROR(SEARCH($H$12,E371)))</formula>
      <formula>$H$12</formula>
    </cfRule>
    <cfRule type="containsText" dxfId="2448" priority="3601" operator="containsText" text="$H$13">
      <formula>NOT(ISERROR(SEARCH($H$13,E371)))</formula>
      <formula>$H$13</formula>
    </cfRule>
  </conditionalFormatting>
  <conditionalFormatting sqref="E373">
    <cfRule type="containsText" dxfId="2447" priority="3600" operator="containsText" text="$H$7">
      <formula>NOT(ISERROR(SEARCH($H$7,E373)))</formula>
      <formula>$H$7</formula>
    </cfRule>
    <cfRule type="containsText" dxfId="2446" priority="3599" operator="containsText" text="$H$8">
      <formula>NOT(ISERROR(SEARCH($H$8,E373)))</formula>
      <formula>$H$8</formula>
    </cfRule>
    <cfRule type="containsText" dxfId="2445" priority="3598" operator="containsText" text="$H$8">
      <formula>NOT(ISERROR(SEARCH($H$8,E373)))</formula>
      <formula>$H$8</formula>
    </cfRule>
    <cfRule type="containsText" dxfId="2444" priority="3597" operator="containsText" text="$H$9">
      <formula>NOT(ISERROR(SEARCH($H$9,E373)))</formula>
      <formula>$H$9</formula>
    </cfRule>
    <cfRule type="containsText" dxfId="2443" priority="3596" operator="containsText" text="$H$10">
      <formula>NOT(ISERROR(SEARCH($H$10,E373)))</formula>
      <formula>$H$10</formula>
    </cfRule>
    <cfRule type="containsText" dxfId="2442" priority="3595" operator="containsText" text="$H$11">
      <formula>NOT(ISERROR(SEARCH($H$11,E373)))</formula>
      <formula>$H$11</formula>
    </cfRule>
    <cfRule type="containsText" dxfId="2441" priority="3594" operator="containsText" text="$H$12">
      <formula>NOT(ISERROR(SEARCH($H$12,E373)))</formula>
      <formula>$H$12</formula>
    </cfRule>
    <cfRule type="containsText" dxfId="2440" priority="3593" operator="containsText" text="$H$13">
      <formula>NOT(ISERROR(SEARCH($H$13,E373)))</formula>
      <formula>$H$13</formula>
    </cfRule>
  </conditionalFormatting>
  <conditionalFormatting sqref="E373">
    <cfRule type="containsText" dxfId="2439" priority="3592" operator="containsText" text="$H$7">
      <formula>NOT(ISERROR(SEARCH($H$7,E373)))</formula>
      <formula>$H$7</formula>
    </cfRule>
    <cfRule type="containsText" dxfId="2438" priority="3591" operator="containsText" text="$H$8">
      <formula>NOT(ISERROR(SEARCH($H$8,E373)))</formula>
      <formula>$H$8</formula>
    </cfRule>
    <cfRule type="containsText" dxfId="2437" priority="3590" operator="containsText" text="$H$8">
      <formula>NOT(ISERROR(SEARCH($H$8,E373)))</formula>
      <formula>$H$8</formula>
    </cfRule>
    <cfRule type="containsText" dxfId="2436" priority="3589" operator="containsText" text="$H$9">
      <formula>NOT(ISERROR(SEARCH($H$9,E373)))</formula>
      <formula>$H$9</formula>
    </cfRule>
    <cfRule type="containsText" dxfId="2435" priority="3588" operator="containsText" text="$H$10">
      <formula>NOT(ISERROR(SEARCH($H$10,E373)))</formula>
      <formula>$H$10</formula>
    </cfRule>
    <cfRule type="containsText" dxfId="2434" priority="3587" operator="containsText" text="$H$11">
      <formula>NOT(ISERROR(SEARCH($H$11,E373)))</formula>
      <formula>$H$11</formula>
    </cfRule>
    <cfRule type="containsText" dxfId="2433" priority="3586" operator="containsText" text="$H$12">
      <formula>NOT(ISERROR(SEARCH($H$12,E373)))</formula>
      <formula>$H$12</formula>
    </cfRule>
    <cfRule type="containsText" dxfId="2432" priority="3585" operator="containsText" text="$H$13">
      <formula>NOT(ISERROR(SEARCH($H$13,E373)))</formula>
      <formula>$H$13</formula>
    </cfRule>
  </conditionalFormatting>
  <conditionalFormatting sqref="D367">
    <cfRule type="containsText" dxfId="2431" priority="3584" operator="containsText" text="$H$7">
      <formula>NOT(ISERROR(SEARCH($H$7,D367)))</formula>
      <formula>$H$7</formula>
    </cfRule>
    <cfRule type="containsText" dxfId="2430" priority="3583" operator="containsText" text="$H$8">
      <formula>NOT(ISERROR(SEARCH($H$8,D367)))</formula>
      <formula>$H$8</formula>
    </cfRule>
    <cfRule type="containsText" dxfId="2429" priority="3582" operator="containsText" text="$H$8">
      <formula>NOT(ISERROR(SEARCH($H$8,D367)))</formula>
      <formula>$H$8</formula>
    </cfRule>
    <cfRule type="containsText" dxfId="2428" priority="3581" operator="containsText" text="$H$9">
      <formula>NOT(ISERROR(SEARCH($H$9,D367)))</formula>
      <formula>$H$9</formula>
    </cfRule>
    <cfRule type="containsText" dxfId="2427" priority="3580" operator="containsText" text="$H$10">
      <formula>NOT(ISERROR(SEARCH($H$10,D367)))</formula>
      <formula>$H$10</formula>
    </cfRule>
    <cfRule type="containsText" dxfId="2426" priority="3579" operator="containsText" text="$H$11">
      <formula>NOT(ISERROR(SEARCH($H$11,D367)))</formula>
      <formula>$H$11</formula>
    </cfRule>
    <cfRule type="containsText" dxfId="2425" priority="3578" operator="containsText" text="$H$12">
      <formula>NOT(ISERROR(SEARCH($H$12,D367)))</formula>
      <formula>$H$12</formula>
    </cfRule>
    <cfRule type="containsText" dxfId="2424" priority="3577" operator="containsText" text="$H$13">
      <formula>NOT(ISERROR(SEARCH($H$13,D367)))</formula>
      <formula>$H$13</formula>
    </cfRule>
  </conditionalFormatting>
  <conditionalFormatting sqref="D367">
    <cfRule type="containsText" dxfId="2423" priority="3576" operator="containsText" text="$H$7">
      <formula>NOT(ISERROR(SEARCH($H$7,D367)))</formula>
      <formula>$H$7</formula>
    </cfRule>
    <cfRule type="containsText" dxfId="2422" priority="3575" operator="containsText" text="$H$8">
      <formula>NOT(ISERROR(SEARCH($H$8,D367)))</formula>
      <formula>$H$8</formula>
    </cfRule>
    <cfRule type="containsText" dxfId="2421" priority="3574" operator="containsText" text="$H$8">
      <formula>NOT(ISERROR(SEARCH($H$8,D367)))</formula>
      <formula>$H$8</formula>
    </cfRule>
    <cfRule type="containsText" dxfId="2420" priority="3573" operator="containsText" text="$H$9">
      <formula>NOT(ISERROR(SEARCH($H$9,D367)))</formula>
      <formula>$H$9</formula>
    </cfRule>
    <cfRule type="containsText" dxfId="2419" priority="3572" operator="containsText" text="$H$10">
      <formula>NOT(ISERROR(SEARCH($H$10,D367)))</formula>
      <formula>$H$10</formula>
    </cfRule>
    <cfRule type="containsText" dxfId="2418" priority="3571" operator="containsText" text="$H$11">
      <formula>NOT(ISERROR(SEARCH($H$11,D367)))</formula>
      <formula>$H$11</formula>
    </cfRule>
    <cfRule type="containsText" dxfId="2417" priority="3570" operator="containsText" text="$H$12">
      <formula>NOT(ISERROR(SEARCH($H$12,D367)))</formula>
      <formula>$H$12</formula>
    </cfRule>
    <cfRule type="containsText" dxfId="2416" priority="3569" operator="containsText" text="$H$13">
      <formula>NOT(ISERROR(SEARCH($H$13,D367)))</formula>
      <formula>$H$13</formula>
    </cfRule>
  </conditionalFormatting>
  <conditionalFormatting sqref="D369">
    <cfRule type="containsText" dxfId="2415" priority="3568" operator="containsText" text="$H$7">
      <formula>NOT(ISERROR(SEARCH($H$7,D369)))</formula>
      <formula>$H$7</formula>
    </cfRule>
    <cfRule type="containsText" dxfId="2414" priority="3567" operator="containsText" text="$H$8">
      <formula>NOT(ISERROR(SEARCH($H$8,D369)))</formula>
      <formula>$H$8</formula>
    </cfRule>
    <cfRule type="containsText" dxfId="2413" priority="3566" operator="containsText" text="$H$8">
      <formula>NOT(ISERROR(SEARCH($H$8,D369)))</formula>
      <formula>$H$8</formula>
    </cfRule>
    <cfRule type="containsText" dxfId="2412" priority="3565" operator="containsText" text="$H$9">
      <formula>NOT(ISERROR(SEARCH($H$9,D369)))</formula>
      <formula>$H$9</formula>
    </cfRule>
    <cfRule type="containsText" dxfId="2411" priority="3564" operator="containsText" text="$H$10">
      <formula>NOT(ISERROR(SEARCH($H$10,D369)))</formula>
      <formula>$H$10</formula>
    </cfRule>
    <cfRule type="containsText" dxfId="2410" priority="3563" operator="containsText" text="$H$11">
      <formula>NOT(ISERROR(SEARCH($H$11,D369)))</formula>
      <formula>$H$11</formula>
    </cfRule>
    <cfRule type="containsText" dxfId="2409" priority="3562" operator="containsText" text="$H$12">
      <formula>NOT(ISERROR(SEARCH($H$12,D369)))</formula>
      <formula>$H$12</formula>
    </cfRule>
    <cfRule type="containsText" dxfId="2408" priority="3561" operator="containsText" text="$H$13">
      <formula>NOT(ISERROR(SEARCH($H$13,D369)))</formula>
      <formula>$H$13</formula>
    </cfRule>
  </conditionalFormatting>
  <conditionalFormatting sqref="D369">
    <cfRule type="containsText" dxfId="2407" priority="3560" operator="containsText" text="$H$7">
      <formula>NOT(ISERROR(SEARCH($H$7,D369)))</formula>
      <formula>$H$7</formula>
    </cfRule>
    <cfRule type="containsText" dxfId="2406" priority="3559" operator="containsText" text="$H$8">
      <formula>NOT(ISERROR(SEARCH($H$8,D369)))</formula>
      <formula>$H$8</formula>
    </cfRule>
    <cfRule type="containsText" dxfId="2405" priority="3558" operator="containsText" text="$H$8">
      <formula>NOT(ISERROR(SEARCH($H$8,D369)))</formula>
      <formula>$H$8</formula>
    </cfRule>
    <cfRule type="containsText" dxfId="2404" priority="3557" operator="containsText" text="$H$9">
      <formula>NOT(ISERROR(SEARCH($H$9,D369)))</formula>
      <formula>$H$9</formula>
    </cfRule>
    <cfRule type="containsText" dxfId="2403" priority="3556" operator="containsText" text="$H$10">
      <formula>NOT(ISERROR(SEARCH($H$10,D369)))</formula>
      <formula>$H$10</formula>
    </cfRule>
    <cfRule type="containsText" dxfId="2402" priority="3555" operator="containsText" text="$H$11">
      <formula>NOT(ISERROR(SEARCH($H$11,D369)))</formula>
      <formula>$H$11</formula>
    </cfRule>
    <cfRule type="containsText" dxfId="2401" priority="3554" operator="containsText" text="$H$12">
      <formula>NOT(ISERROR(SEARCH($H$12,D369)))</formula>
      <formula>$H$12</formula>
    </cfRule>
    <cfRule type="containsText" dxfId="2400" priority="3553" operator="containsText" text="$H$13">
      <formula>NOT(ISERROR(SEARCH($H$13,D369)))</formula>
      <formula>$H$13</formula>
    </cfRule>
  </conditionalFormatting>
  <conditionalFormatting sqref="D371">
    <cfRule type="containsText" dxfId="2399" priority="3552" operator="containsText" text="$H$7">
      <formula>NOT(ISERROR(SEARCH($H$7,D371)))</formula>
      <formula>$H$7</formula>
    </cfRule>
    <cfRule type="containsText" dxfId="2398" priority="3551" operator="containsText" text="$H$8">
      <formula>NOT(ISERROR(SEARCH($H$8,D371)))</formula>
      <formula>$H$8</formula>
    </cfRule>
    <cfRule type="containsText" dxfId="2397" priority="3550" operator="containsText" text="$H$8">
      <formula>NOT(ISERROR(SEARCH($H$8,D371)))</formula>
      <formula>$H$8</formula>
    </cfRule>
    <cfRule type="containsText" dxfId="2396" priority="3549" operator="containsText" text="$H$9">
      <formula>NOT(ISERROR(SEARCH($H$9,D371)))</formula>
      <formula>$H$9</formula>
    </cfRule>
    <cfRule type="containsText" dxfId="2395" priority="3548" operator="containsText" text="$H$10">
      <formula>NOT(ISERROR(SEARCH($H$10,D371)))</formula>
      <formula>$H$10</formula>
    </cfRule>
    <cfRule type="containsText" dxfId="2394" priority="3547" operator="containsText" text="$H$11">
      <formula>NOT(ISERROR(SEARCH($H$11,D371)))</formula>
      <formula>$H$11</formula>
    </cfRule>
    <cfRule type="containsText" dxfId="2393" priority="3546" operator="containsText" text="$H$12">
      <formula>NOT(ISERROR(SEARCH($H$12,D371)))</formula>
      <formula>$H$12</formula>
    </cfRule>
    <cfRule type="containsText" dxfId="2392" priority="3545" operator="containsText" text="$H$13">
      <formula>NOT(ISERROR(SEARCH($H$13,D371)))</formula>
      <formula>$H$13</formula>
    </cfRule>
  </conditionalFormatting>
  <conditionalFormatting sqref="D371">
    <cfRule type="containsText" dxfId="2391" priority="3544" operator="containsText" text="$H$7">
      <formula>NOT(ISERROR(SEARCH($H$7,D371)))</formula>
      <formula>$H$7</formula>
    </cfRule>
    <cfRule type="containsText" dxfId="2390" priority="3543" operator="containsText" text="$H$8">
      <formula>NOT(ISERROR(SEARCH($H$8,D371)))</formula>
      <formula>$H$8</formula>
    </cfRule>
    <cfRule type="containsText" dxfId="2389" priority="3542" operator="containsText" text="$H$8">
      <formula>NOT(ISERROR(SEARCH($H$8,D371)))</formula>
      <formula>$H$8</formula>
    </cfRule>
    <cfRule type="containsText" dxfId="2388" priority="3541" operator="containsText" text="$H$9">
      <formula>NOT(ISERROR(SEARCH($H$9,D371)))</formula>
      <formula>$H$9</formula>
    </cfRule>
    <cfRule type="containsText" dxfId="2387" priority="3540" operator="containsText" text="$H$10">
      <formula>NOT(ISERROR(SEARCH($H$10,D371)))</formula>
      <formula>$H$10</formula>
    </cfRule>
    <cfRule type="containsText" dxfId="2386" priority="3539" operator="containsText" text="$H$11">
      <formula>NOT(ISERROR(SEARCH($H$11,D371)))</formula>
      <formula>$H$11</formula>
    </cfRule>
    <cfRule type="containsText" dxfId="2385" priority="3538" operator="containsText" text="$H$12">
      <formula>NOT(ISERROR(SEARCH($H$12,D371)))</formula>
      <formula>$H$12</formula>
    </cfRule>
    <cfRule type="containsText" dxfId="2384" priority="3537" operator="containsText" text="$H$13">
      <formula>NOT(ISERROR(SEARCH($H$13,D371)))</formula>
      <formula>$H$13</formula>
    </cfRule>
  </conditionalFormatting>
  <conditionalFormatting sqref="D373">
    <cfRule type="containsText" dxfId="2383" priority="3536" operator="containsText" text="$H$7">
      <formula>NOT(ISERROR(SEARCH($H$7,D373)))</formula>
      <formula>$H$7</formula>
    </cfRule>
    <cfRule type="containsText" dxfId="2382" priority="3535" operator="containsText" text="$H$8">
      <formula>NOT(ISERROR(SEARCH($H$8,D373)))</formula>
      <formula>$H$8</formula>
    </cfRule>
    <cfRule type="containsText" dxfId="2381" priority="3534" operator="containsText" text="$H$8">
      <formula>NOT(ISERROR(SEARCH($H$8,D373)))</formula>
      <formula>$H$8</formula>
    </cfRule>
    <cfRule type="containsText" dxfId="2380" priority="3533" operator="containsText" text="$H$9">
      <formula>NOT(ISERROR(SEARCH($H$9,D373)))</formula>
      <formula>$H$9</formula>
    </cfRule>
    <cfRule type="containsText" dxfId="2379" priority="3532" operator="containsText" text="$H$10">
      <formula>NOT(ISERROR(SEARCH($H$10,D373)))</formula>
      <formula>$H$10</formula>
    </cfRule>
    <cfRule type="containsText" dxfId="2378" priority="3531" operator="containsText" text="$H$11">
      <formula>NOT(ISERROR(SEARCH($H$11,D373)))</formula>
      <formula>$H$11</formula>
    </cfRule>
    <cfRule type="containsText" dxfId="2377" priority="3530" operator="containsText" text="$H$12">
      <formula>NOT(ISERROR(SEARCH($H$12,D373)))</formula>
      <formula>$H$12</formula>
    </cfRule>
    <cfRule type="containsText" dxfId="2376" priority="3529" operator="containsText" text="$H$13">
      <formula>NOT(ISERROR(SEARCH($H$13,D373)))</formula>
      <formula>$H$13</formula>
    </cfRule>
  </conditionalFormatting>
  <conditionalFormatting sqref="D373">
    <cfRule type="containsText" dxfId="2375" priority="3528" operator="containsText" text="$H$7">
      <formula>NOT(ISERROR(SEARCH($H$7,D373)))</formula>
      <formula>$H$7</formula>
    </cfRule>
    <cfRule type="containsText" dxfId="2374" priority="3527" operator="containsText" text="$H$8">
      <formula>NOT(ISERROR(SEARCH($H$8,D373)))</formula>
      <formula>$H$8</formula>
    </cfRule>
    <cfRule type="containsText" dxfId="2373" priority="3526" operator="containsText" text="$H$8">
      <formula>NOT(ISERROR(SEARCH($H$8,D373)))</formula>
      <formula>$H$8</formula>
    </cfRule>
    <cfRule type="containsText" dxfId="2372" priority="3525" operator="containsText" text="$H$9">
      <formula>NOT(ISERROR(SEARCH($H$9,D373)))</formula>
      <formula>$H$9</formula>
    </cfRule>
    <cfRule type="containsText" dxfId="2371" priority="3524" operator="containsText" text="$H$10">
      <formula>NOT(ISERROR(SEARCH($H$10,D373)))</formula>
      <formula>$H$10</formula>
    </cfRule>
    <cfRule type="containsText" dxfId="2370" priority="3523" operator="containsText" text="$H$11">
      <formula>NOT(ISERROR(SEARCH($H$11,D373)))</formula>
      <formula>$H$11</formula>
    </cfRule>
    <cfRule type="containsText" dxfId="2369" priority="3522" operator="containsText" text="$H$12">
      <formula>NOT(ISERROR(SEARCH($H$12,D373)))</formula>
      <formula>$H$12</formula>
    </cfRule>
    <cfRule type="containsText" dxfId="2368" priority="3521" operator="containsText" text="$H$13">
      <formula>NOT(ISERROR(SEARCH($H$13,D373)))</formula>
      <formula>$H$13</formula>
    </cfRule>
  </conditionalFormatting>
  <conditionalFormatting sqref="B377">
    <cfRule type="containsText" dxfId="2367" priority="3520" operator="containsText" text="$H$7">
      <formula>NOT(ISERROR(SEARCH($H$7,B377)))</formula>
      <formula>$H$7</formula>
    </cfRule>
    <cfRule type="containsText" dxfId="2366" priority="3519" operator="containsText" text="$H$8">
      <formula>NOT(ISERROR(SEARCH($H$8,B377)))</formula>
      <formula>$H$8</formula>
    </cfRule>
    <cfRule type="containsText" dxfId="2365" priority="3518" operator="containsText" text="$H$8">
      <formula>NOT(ISERROR(SEARCH($H$8,B377)))</formula>
      <formula>$H$8</formula>
    </cfRule>
    <cfRule type="containsText" dxfId="2364" priority="3517" operator="containsText" text="$H$9">
      <formula>NOT(ISERROR(SEARCH($H$9,B377)))</formula>
      <formula>$H$9</formula>
    </cfRule>
    <cfRule type="containsText" dxfId="2363" priority="3516" operator="containsText" text="$H$10">
      <formula>NOT(ISERROR(SEARCH($H$10,B377)))</formula>
      <formula>$H$10</formula>
    </cfRule>
    <cfRule type="containsText" dxfId="2362" priority="3515" operator="containsText" text="$H$11">
      <formula>NOT(ISERROR(SEARCH($H$11,B377)))</formula>
      <formula>$H$11</formula>
    </cfRule>
    <cfRule type="containsText" dxfId="2361" priority="3514" operator="containsText" text="$H$12">
      <formula>NOT(ISERROR(SEARCH($H$12,B377)))</formula>
      <formula>$H$12</formula>
    </cfRule>
    <cfRule type="containsText" dxfId="2360" priority="3513" operator="containsText" text="$H$13">
      <formula>NOT(ISERROR(SEARCH($H$13,B377)))</formula>
      <formula>$H$13</formula>
    </cfRule>
  </conditionalFormatting>
  <conditionalFormatting sqref="B377">
    <cfRule type="containsText" dxfId="2359" priority="3512" operator="containsText" text="$H$7">
      <formula>NOT(ISERROR(SEARCH($H$7,B377)))</formula>
      <formula>$H$7</formula>
    </cfRule>
    <cfRule type="containsText" dxfId="2358" priority="3511" operator="containsText" text="$H$8">
      <formula>NOT(ISERROR(SEARCH($H$8,B377)))</formula>
      <formula>$H$8</formula>
    </cfRule>
    <cfRule type="containsText" dxfId="2357" priority="3510" operator="containsText" text="$H$8">
      <formula>NOT(ISERROR(SEARCH($H$8,B377)))</formula>
      <formula>$H$8</formula>
    </cfRule>
    <cfRule type="containsText" dxfId="2356" priority="3509" operator="containsText" text="$H$9">
      <formula>NOT(ISERROR(SEARCH($H$9,B377)))</formula>
      <formula>$H$9</formula>
    </cfRule>
    <cfRule type="containsText" dxfId="2355" priority="3508" operator="containsText" text="$H$10">
      <formula>NOT(ISERROR(SEARCH($H$10,B377)))</formula>
      <formula>$H$10</formula>
    </cfRule>
    <cfRule type="containsText" dxfId="2354" priority="3507" operator="containsText" text="$H$11">
      <formula>NOT(ISERROR(SEARCH($H$11,B377)))</formula>
      <formula>$H$11</formula>
    </cfRule>
    <cfRule type="containsText" dxfId="2353" priority="3506" operator="containsText" text="$H$12">
      <formula>NOT(ISERROR(SEARCH($H$12,B377)))</formula>
      <formula>$H$12</formula>
    </cfRule>
    <cfRule type="containsText" dxfId="2352" priority="3505" operator="containsText" text="$H$13">
      <formula>NOT(ISERROR(SEARCH($H$13,B377)))</formula>
      <formula>$H$13</formula>
    </cfRule>
  </conditionalFormatting>
  <conditionalFormatting sqref="B379">
    <cfRule type="containsText" dxfId="2351" priority="3504" operator="containsText" text="$H$7">
      <formula>NOT(ISERROR(SEARCH($H$7,B379)))</formula>
      <formula>$H$7</formula>
    </cfRule>
    <cfRule type="containsText" dxfId="2350" priority="3503" operator="containsText" text="$H$8">
      <formula>NOT(ISERROR(SEARCH($H$8,B379)))</formula>
      <formula>$H$8</formula>
    </cfRule>
    <cfRule type="containsText" dxfId="2349" priority="3502" operator="containsText" text="$H$8">
      <formula>NOT(ISERROR(SEARCH($H$8,B379)))</formula>
      <formula>$H$8</formula>
    </cfRule>
    <cfRule type="containsText" dxfId="2348" priority="3501" operator="containsText" text="$H$9">
      <formula>NOT(ISERROR(SEARCH($H$9,B379)))</formula>
      <formula>$H$9</formula>
    </cfRule>
    <cfRule type="containsText" dxfId="2347" priority="3500" operator="containsText" text="$H$10">
      <formula>NOT(ISERROR(SEARCH($H$10,B379)))</formula>
      <formula>$H$10</formula>
    </cfRule>
    <cfRule type="containsText" dxfId="2346" priority="3499" operator="containsText" text="$H$11">
      <formula>NOT(ISERROR(SEARCH($H$11,B379)))</formula>
      <formula>$H$11</formula>
    </cfRule>
    <cfRule type="containsText" dxfId="2345" priority="3498" operator="containsText" text="$H$12">
      <formula>NOT(ISERROR(SEARCH($H$12,B379)))</formula>
      <formula>$H$12</formula>
    </cfRule>
    <cfRule type="containsText" dxfId="2344" priority="3497" operator="containsText" text="$H$13">
      <formula>NOT(ISERROR(SEARCH($H$13,B379)))</formula>
      <formula>$H$13</formula>
    </cfRule>
  </conditionalFormatting>
  <conditionalFormatting sqref="B379">
    <cfRule type="containsText" dxfId="2343" priority="3496" operator="containsText" text="$H$7">
      <formula>NOT(ISERROR(SEARCH($H$7,B379)))</formula>
      <formula>$H$7</formula>
    </cfRule>
    <cfRule type="containsText" dxfId="2342" priority="3495" operator="containsText" text="$H$8">
      <formula>NOT(ISERROR(SEARCH($H$8,B379)))</formula>
      <formula>$H$8</formula>
    </cfRule>
    <cfRule type="containsText" dxfId="2341" priority="3494" operator="containsText" text="$H$8">
      <formula>NOT(ISERROR(SEARCH($H$8,B379)))</formula>
      <formula>$H$8</formula>
    </cfRule>
    <cfRule type="containsText" dxfId="2340" priority="3493" operator="containsText" text="$H$9">
      <formula>NOT(ISERROR(SEARCH($H$9,B379)))</formula>
      <formula>$H$9</formula>
    </cfRule>
    <cfRule type="containsText" dxfId="2339" priority="3492" operator="containsText" text="$H$10">
      <formula>NOT(ISERROR(SEARCH($H$10,B379)))</formula>
      <formula>$H$10</formula>
    </cfRule>
    <cfRule type="containsText" dxfId="2338" priority="3491" operator="containsText" text="$H$11">
      <formula>NOT(ISERROR(SEARCH($H$11,B379)))</formula>
      <formula>$H$11</formula>
    </cfRule>
    <cfRule type="containsText" dxfId="2337" priority="3490" operator="containsText" text="$H$12">
      <formula>NOT(ISERROR(SEARCH($H$12,B379)))</formula>
      <formula>$H$12</formula>
    </cfRule>
    <cfRule type="containsText" dxfId="2336" priority="3489" operator="containsText" text="$H$13">
      <formula>NOT(ISERROR(SEARCH($H$13,B379)))</formula>
      <formula>$H$13</formula>
    </cfRule>
  </conditionalFormatting>
  <conditionalFormatting sqref="B381">
    <cfRule type="containsText" dxfId="2335" priority="3488" operator="containsText" text="$H$7">
      <formula>NOT(ISERROR(SEARCH($H$7,B381)))</formula>
      <formula>$H$7</formula>
    </cfRule>
    <cfRule type="containsText" dxfId="2334" priority="3487" operator="containsText" text="$H$8">
      <formula>NOT(ISERROR(SEARCH($H$8,B381)))</formula>
      <formula>$H$8</formula>
    </cfRule>
    <cfRule type="containsText" dxfId="2333" priority="3486" operator="containsText" text="$H$8">
      <formula>NOT(ISERROR(SEARCH($H$8,B381)))</formula>
      <formula>$H$8</formula>
    </cfRule>
    <cfRule type="containsText" dxfId="2332" priority="3485" operator="containsText" text="$H$9">
      <formula>NOT(ISERROR(SEARCH($H$9,B381)))</formula>
      <formula>$H$9</formula>
    </cfRule>
    <cfRule type="containsText" dxfId="2331" priority="3484" operator="containsText" text="$H$10">
      <formula>NOT(ISERROR(SEARCH($H$10,B381)))</formula>
      <formula>$H$10</formula>
    </cfRule>
    <cfRule type="containsText" dxfId="2330" priority="3483" operator="containsText" text="$H$11">
      <formula>NOT(ISERROR(SEARCH($H$11,B381)))</formula>
      <formula>$H$11</formula>
    </cfRule>
    <cfRule type="containsText" dxfId="2329" priority="3482" operator="containsText" text="$H$12">
      <formula>NOT(ISERROR(SEARCH($H$12,B381)))</formula>
      <formula>$H$12</formula>
    </cfRule>
    <cfRule type="containsText" dxfId="2328" priority="3481" operator="containsText" text="$H$13">
      <formula>NOT(ISERROR(SEARCH($H$13,B381)))</formula>
      <formula>$H$13</formula>
    </cfRule>
  </conditionalFormatting>
  <conditionalFormatting sqref="B381">
    <cfRule type="containsText" dxfId="2327" priority="3480" operator="containsText" text="$H$7">
      <formula>NOT(ISERROR(SEARCH($H$7,B381)))</formula>
      <formula>$H$7</formula>
    </cfRule>
    <cfRule type="containsText" dxfId="2326" priority="3479" operator="containsText" text="$H$8">
      <formula>NOT(ISERROR(SEARCH($H$8,B381)))</formula>
      <formula>$H$8</formula>
    </cfRule>
    <cfRule type="containsText" dxfId="2325" priority="3478" operator="containsText" text="$H$8">
      <formula>NOT(ISERROR(SEARCH($H$8,B381)))</formula>
      <formula>$H$8</formula>
    </cfRule>
    <cfRule type="containsText" dxfId="2324" priority="3477" operator="containsText" text="$H$9">
      <formula>NOT(ISERROR(SEARCH($H$9,B381)))</formula>
      <formula>$H$9</formula>
    </cfRule>
    <cfRule type="containsText" dxfId="2323" priority="3476" operator="containsText" text="$H$10">
      <formula>NOT(ISERROR(SEARCH($H$10,B381)))</formula>
      <formula>$H$10</formula>
    </cfRule>
    <cfRule type="containsText" dxfId="2322" priority="3475" operator="containsText" text="$H$11">
      <formula>NOT(ISERROR(SEARCH($H$11,B381)))</formula>
      <formula>$H$11</formula>
    </cfRule>
    <cfRule type="containsText" dxfId="2321" priority="3474" operator="containsText" text="$H$12">
      <formula>NOT(ISERROR(SEARCH($H$12,B381)))</formula>
      <formula>$H$12</formula>
    </cfRule>
    <cfRule type="containsText" dxfId="2320" priority="3473" operator="containsText" text="$H$13">
      <formula>NOT(ISERROR(SEARCH($H$13,B381)))</formula>
      <formula>$H$13</formula>
    </cfRule>
  </conditionalFormatting>
  <conditionalFormatting sqref="E375">
    <cfRule type="containsText" dxfId="2319" priority="3472" operator="containsText" text="$H$7">
      <formula>NOT(ISERROR(SEARCH($H$7,E375)))</formula>
      <formula>$H$7</formula>
    </cfRule>
    <cfRule type="containsText" dxfId="2318" priority="3471" operator="containsText" text="$H$8">
      <formula>NOT(ISERROR(SEARCH($H$8,E375)))</formula>
      <formula>$H$8</formula>
    </cfRule>
    <cfRule type="containsText" dxfId="2317" priority="3470" operator="containsText" text="$H$8">
      <formula>NOT(ISERROR(SEARCH($H$8,E375)))</formula>
      <formula>$H$8</formula>
    </cfRule>
    <cfRule type="containsText" dxfId="2316" priority="3469" operator="containsText" text="$H$9">
      <formula>NOT(ISERROR(SEARCH($H$9,E375)))</formula>
      <formula>$H$9</formula>
    </cfRule>
    <cfRule type="containsText" dxfId="2315" priority="3468" operator="containsText" text="$H$10">
      <formula>NOT(ISERROR(SEARCH($H$10,E375)))</formula>
      <formula>$H$10</formula>
    </cfRule>
    <cfRule type="containsText" dxfId="2314" priority="3467" operator="containsText" text="$H$11">
      <formula>NOT(ISERROR(SEARCH($H$11,E375)))</formula>
      <formula>$H$11</formula>
    </cfRule>
    <cfRule type="containsText" dxfId="2313" priority="3466" operator="containsText" text="$H$12">
      <formula>NOT(ISERROR(SEARCH($H$12,E375)))</formula>
      <formula>$H$12</formula>
    </cfRule>
    <cfRule type="containsText" dxfId="2312" priority="3465" operator="containsText" text="$H$13">
      <formula>NOT(ISERROR(SEARCH($H$13,E375)))</formula>
      <formula>$H$13</formula>
    </cfRule>
  </conditionalFormatting>
  <conditionalFormatting sqref="E375">
    <cfRule type="containsText" dxfId="2311" priority="3464" operator="containsText" text="$H$7">
      <formula>NOT(ISERROR(SEARCH($H$7,E375)))</formula>
      <formula>$H$7</formula>
    </cfRule>
    <cfRule type="containsText" dxfId="2310" priority="3463" operator="containsText" text="$H$8">
      <formula>NOT(ISERROR(SEARCH($H$8,E375)))</formula>
      <formula>$H$8</formula>
    </cfRule>
    <cfRule type="containsText" dxfId="2309" priority="3462" operator="containsText" text="$H$8">
      <formula>NOT(ISERROR(SEARCH($H$8,E375)))</formula>
      <formula>$H$8</formula>
    </cfRule>
    <cfRule type="containsText" dxfId="2308" priority="3461" operator="containsText" text="$H$9">
      <formula>NOT(ISERROR(SEARCH($H$9,E375)))</formula>
      <formula>$H$9</formula>
    </cfRule>
    <cfRule type="containsText" dxfId="2307" priority="3460" operator="containsText" text="$H$10">
      <formula>NOT(ISERROR(SEARCH($H$10,E375)))</formula>
      <formula>$H$10</formula>
    </cfRule>
    <cfRule type="containsText" dxfId="2306" priority="3459" operator="containsText" text="$H$11">
      <formula>NOT(ISERROR(SEARCH($H$11,E375)))</formula>
      <formula>$H$11</formula>
    </cfRule>
    <cfRule type="containsText" dxfId="2305" priority="3458" operator="containsText" text="$H$12">
      <formula>NOT(ISERROR(SEARCH($H$12,E375)))</formula>
      <formula>$H$12</formula>
    </cfRule>
    <cfRule type="containsText" dxfId="2304" priority="3457" operator="containsText" text="$H$13">
      <formula>NOT(ISERROR(SEARCH($H$13,E375)))</formula>
      <formula>$H$13</formula>
    </cfRule>
  </conditionalFormatting>
  <conditionalFormatting sqref="E377">
    <cfRule type="containsText" dxfId="2303" priority="3456" operator="containsText" text="$H$7">
      <formula>NOT(ISERROR(SEARCH($H$7,E377)))</formula>
      <formula>$H$7</formula>
    </cfRule>
    <cfRule type="containsText" dxfId="2302" priority="3455" operator="containsText" text="$H$8">
      <formula>NOT(ISERROR(SEARCH($H$8,E377)))</formula>
      <formula>$H$8</formula>
    </cfRule>
    <cfRule type="containsText" dxfId="2301" priority="3454" operator="containsText" text="$H$8">
      <formula>NOT(ISERROR(SEARCH($H$8,E377)))</formula>
      <formula>$H$8</formula>
    </cfRule>
    <cfRule type="containsText" dxfId="2300" priority="3453" operator="containsText" text="$H$9">
      <formula>NOT(ISERROR(SEARCH($H$9,E377)))</formula>
      <formula>$H$9</formula>
    </cfRule>
    <cfRule type="containsText" dxfId="2299" priority="3452" operator="containsText" text="$H$10">
      <formula>NOT(ISERROR(SEARCH($H$10,E377)))</formula>
      <formula>$H$10</formula>
    </cfRule>
    <cfRule type="containsText" dxfId="2298" priority="3451" operator="containsText" text="$H$11">
      <formula>NOT(ISERROR(SEARCH($H$11,E377)))</formula>
      <formula>$H$11</formula>
    </cfRule>
    <cfRule type="containsText" dxfId="2297" priority="3450" operator="containsText" text="$H$12">
      <formula>NOT(ISERROR(SEARCH($H$12,E377)))</formula>
      <formula>$H$12</formula>
    </cfRule>
    <cfRule type="containsText" dxfId="2296" priority="3449" operator="containsText" text="$H$13">
      <formula>NOT(ISERROR(SEARCH($H$13,E377)))</formula>
      <formula>$H$13</formula>
    </cfRule>
  </conditionalFormatting>
  <conditionalFormatting sqref="E377">
    <cfRule type="containsText" dxfId="2295" priority="3448" operator="containsText" text="$H$7">
      <formula>NOT(ISERROR(SEARCH($H$7,E377)))</formula>
      <formula>$H$7</formula>
    </cfRule>
    <cfRule type="containsText" dxfId="2294" priority="3447" operator="containsText" text="$H$8">
      <formula>NOT(ISERROR(SEARCH($H$8,E377)))</formula>
      <formula>$H$8</formula>
    </cfRule>
    <cfRule type="containsText" dxfId="2293" priority="3446" operator="containsText" text="$H$8">
      <formula>NOT(ISERROR(SEARCH($H$8,E377)))</formula>
      <formula>$H$8</formula>
    </cfRule>
    <cfRule type="containsText" dxfId="2292" priority="3445" operator="containsText" text="$H$9">
      <formula>NOT(ISERROR(SEARCH($H$9,E377)))</formula>
      <formula>$H$9</formula>
    </cfRule>
    <cfRule type="containsText" dxfId="2291" priority="3444" operator="containsText" text="$H$10">
      <formula>NOT(ISERROR(SEARCH($H$10,E377)))</formula>
      <formula>$H$10</formula>
    </cfRule>
    <cfRule type="containsText" dxfId="2290" priority="3443" operator="containsText" text="$H$11">
      <formula>NOT(ISERROR(SEARCH($H$11,E377)))</formula>
      <formula>$H$11</formula>
    </cfRule>
    <cfRule type="containsText" dxfId="2289" priority="3442" operator="containsText" text="$H$12">
      <formula>NOT(ISERROR(SEARCH($H$12,E377)))</formula>
      <formula>$H$12</formula>
    </cfRule>
    <cfRule type="containsText" dxfId="2288" priority="3441" operator="containsText" text="$H$13">
      <formula>NOT(ISERROR(SEARCH($H$13,E377)))</formula>
      <formula>$H$13</formula>
    </cfRule>
  </conditionalFormatting>
  <conditionalFormatting sqref="E379">
    <cfRule type="containsText" dxfId="2287" priority="3440" operator="containsText" text="$H$7">
      <formula>NOT(ISERROR(SEARCH($H$7,E379)))</formula>
      <formula>$H$7</formula>
    </cfRule>
    <cfRule type="containsText" dxfId="2286" priority="3439" operator="containsText" text="$H$8">
      <formula>NOT(ISERROR(SEARCH($H$8,E379)))</formula>
      <formula>$H$8</formula>
    </cfRule>
    <cfRule type="containsText" dxfId="2285" priority="3438" operator="containsText" text="$H$8">
      <formula>NOT(ISERROR(SEARCH($H$8,E379)))</formula>
      <formula>$H$8</formula>
    </cfRule>
    <cfRule type="containsText" dxfId="2284" priority="3437" operator="containsText" text="$H$9">
      <formula>NOT(ISERROR(SEARCH($H$9,E379)))</formula>
      <formula>$H$9</formula>
    </cfRule>
    <cfRule type="containsText" dxfId="2283" priority="3436" operator="containsText" text="$H$10">
      <formula>NOT(ISERROR(SEARCH($H$10,E379)))</formula>
      <formula>$H$10</formula>
    </cfRule>
    <cfRule type="containsText" dxfId="2282" priority="3435" operator="containsText" text="$H$11">
      <formula>NOT(ISERROR(SEARCH($H$11,E379)))</formula>
      <formula>$H$11</formula>
    </cfRule>
    <cfRule type="containsText" dxfId="2281" priority="3434" operator="containsText" text="$H$12">
      <formula>NOT(ISERROR(SEARCH($H$12,E379)))</formula>
      <formula>$H$12</formula>
    </cfRule>
    <cfRule type="containsText" dxfId="2280" priority="3433" operator="containsText" text="$H$13">
      <formula>NOT(ISERROR(SEARCH($H$13,E379)))</formula>
      <formula>$H$13</formula>
    </cfRule>
  </conditionalFormatting>
  <conditionalFormatting sqref="E379">
    <cfRule type="containsText" dxfId="2279" priority="3432" operator="containsText" text="$H$7">
      <formula>NOT(ISERROR(SEARCH($H$7,E379)))</formula>
      <formula>$H$7</formula>
    </cfRule>
    <cfRule type="containsText" dxfId="2278" priority="3431" operator="containsText" text="$H$8">
      <formula>NOT(ISERROR(SEARCH($H$8,E379)))</formula>
      <formula>$H$8</formula>
    </cfRule>
    <cfRule type="containsText" dxfId="2277" priority="3430" operator="containsText" text="$H$8">
      <formula>NOT(ISERROR(SEARCH($H$8,E379)))</formula>
      <formula>$H$8</formula>
    </cfRule>
    <cfRule type="containsText" dxfId="2276" priority="3429" operator="containsText" text="$H$9">
      <formula>NOT(ISERROR(SEARCH($H$9,E379)))</formula>
      <formula>$H$9</formula>
    </cfRule>
    <cfRule type="containsText" dxfId="2275" priority="3428" operator="containsText" text="$H$10">
      <formula>NOT(ISERROR(SEARCH($H$10,E379)))</formula>
      <formula>$H$10</formula>
    </cfRule>
    <cfRule type="containsText" dxfId="2274" priority="3427" operator="containsText" text="$H$11">
      <formula>NOT(ISERROR(SEARCH($H$11,E379)))</formula>
      <formula>$H$11</formula>
    </cfRule>
    <cfRule type="containsText" dxfId="2273" priority="3426" operator="containsText" text="$H$12">
      <formula>NOT(ISERROR(SEARCH($H$12,E379)))</formula>
      <formula>$H$12</formula>
    </cfRule>
    <cfRule type="containsText" dxfId="2272" priority="3425" operator="containsText" text="$H$13">
      <formula>NOT(ISERROR(SEARCH($H$13,E379)))</formula>
      <formula>$H$13</formula>
    </cfRule>
  </conditionalFormatting>
  <conditionalFormatting sqref="E381">
    <cfRule type="containsText" dxfId="2271" priority="3424" operator="containsText" text="$H$7">
      <formula>NOT(ISERROR(SEARCH($H$7,E381)))</formula>
      <formula>$H$7</formula>
    </cfRule>
    <cfRule type="containsText" dxfId="2270" priority="3423" operator="containsText" text="$H$8">
      <formula>NOT(ISERROR(SEARCH($H$8,E381)))</formula>
      <formula>$H$8</formula>
    </cfRule>
    <cfRule type="containsText" dxfId="2269" priority="3422" operator="containsText" text="$H$8">
      <formula>NOT(ISERROR(SEARCH($H$8,E381)))</formula>
      <formula>$H$8</formula>
    </cfRule>
    <cfRule type="containsText" dxfId="2268" priority="3421" operator="containsText" text="$H$9">
      <formula>NOT(ISERROR(SEARCH($H$9,E381)))</formula>
      <formula>$H$9</formula>
    </cfRule>
    <cfRule type="containsText" dxfId="2267" priority="3420" operator="containsText" text="$H$10">
      <formula>NOT(ISERROR(SEARCH($H$10,E381)))</formula>
      <formula>$H$10</formula>
    </cfRule>
    <cfRule type="containsText" dxfId="2266" priority="3419" operator="containsText" text="$H$11">
      <formula>NOT(ISERROR(SEARCH($H$11,E381)))</formula>
      <formula>$H$11</formula>
    </cfRule>
    <cfRule type="containsText" dxfId="2265" priority="3418" operator="containsText" text="$H$12">
      <formula>NOT(ISERROR(SEARCH($H$12,E381)))</formula>
      <formula>$H$12</formula>
    </cfRule>
    <cfRule type="containsText" dxfId="2264" priority="3417" operator="containsText" text="$H$13">
      <formula>NOT(ISERROR(SEARCH($H$13,E381)))</formula>
      <formula>$H$13</formula>
    </cfRule>
  </conditionalFormatting>
  <conditionalFormatting sqref="E381">
    <cfRule type="containsText" dxfId="2263" priority="3416" operator="containsText" text="$H$7">
      <formula>NOT(ISERROR(SEARCH($H$7,E381)))</formula>
      <formula>$H$7</formula>
    </cfRule>
    <cfRule type="containsText" dxfId="2262" priority="3415" operator="containsText" text="$H$8">
      <formula>NOT(ISERROR(SEARCH($H$8,E381)))</formula>
      <formula>$H$8</formula>
    </cfRule>
    <cfRule type="containsText" dxfId="2261" priority="3414" operator="containsText" text="$H$8">
      <formula>NOT(ISERROR(SEARCH($H$8,E381)))</formula>
      <formula>$H$8</formula>
    </cfRule>
    <cfRule type="containsText" dxfId="2260" priority="3413" operator="containsText" text="$H$9">
      <formula>NOT(ISERROR(SEARCH($H$9,E381)))</formula>
      <formula>$H$9</formula>
    </cfRule>
    <cfRule type="containsText" dxfId="2259" priority="3412" operator="containsText" text="$H$10">
      <formula>NOT(ISERROR(SEARCH($H$10,E381)))</formula>
      <formula>$H$10</formula>
    </cfRule>
    <cfRule type="containsText" dxfId="2258" priority="3411" operator="containsText" text="$H$11">
      <formula>NOT(ISERROR(SEARCH($H$11,E381)))</formula>
      <formula>$H$11</formula>
    </cfRule>
    <cfRule type="containsText" dxfId="2257" priority="3410" operator="containsText" text="$H$12">
      <formula>NOT(ISERROR(SEARCH($H$12,E381)))</formula>
      <formula>$H$12</formula>
    </cfRule>
    <cfRule type="containsText" dxfId="2256" priority="3409" operator="containsText" text="$H$13">
      <formula>NOT(ISERROR(SEARCH($H$13,E381)))</formula>
      <formula>$H$13</formula>
    </cfRule>
  </conditionalFormatting>
  <conditionalFormatting sqref="F367">
    <cfRule type="containsText" dxfId="2255" priority="3408" operator="containsText" text="$H$7">
      <formula>NOT(ISERROR(SEARCH($H$7,F367)))</formula>
      <formula>$H$7</formula>
    </cfRule>
    <cfRule type="containsText" dxfId="2254" priority="3407" operator="containsText" text="$H$8">
      <formula>NOT(ISERROR(SEARCH($H$8,F367)))</formula>
      <formula>$H$8</formula>
    </cfRule>
    <cfRule type="containsText" dxfId="2253" priority="3406" operator="containsText" text="$H$8">
      <formula>NOT(ISERROR(SEARCH($H$8,F367)))</formula>
      <formula>$H$8</formula>
    </cfRule>
    <cfRule type="containsText" dxfId="2252" priority="3405" operator="containsText" text="$H$9">
      <formula>NOT(ISERROR(SEARCH($H$9,F367)))</formula>
      <formula>$H$9</formula>
    </cfRule>
    <cfRule type="containsText" dxfId="2251" priority="3404" operator="containsText" text="$H$10">
      <formula>NOT(ISERROR(SEARCH($H$10,F367)))</formula>
      <formula>$H$10</formula>
    </cfRule>
    <cfRule type="containsText" dxfId="2250" priority="3403" operator="containsText" text="$H$11">
      <formula>NOT(ISERROR(SEARCH($H$11,F367)))</formula>
      <formula>$H$11</formula>
    </cfRule>
    <cfRule type="containsText" dxfId="2249" priority="3402" operator="containsText" text="$H$12">
      <formula>NOT(ISERROR(SEARCH($H$12,F367)))</formula>
      <formula>$H$12</formula>
    </cfRule>
    <cfRule type="containsText" dxfId="2248" priority="3401" operator="containsText" text="$H$13">
      <formula>NOT(ISERROR(SEARCH($H$13,F367)))</formula>
      <formula>$H$13</formula>
    </cfRule>
  </conditionalFormatting>
  <conditionalFormatting sqref="F367">
    <cfRule type="containsText" dxfId="2247" priority="3400" operator="containsText" text="$H$7">
      <formula>NOT(ISERROR(SEARCH($H$7,F367)))</formula>
      <formula>$H$7</formula>
    </cfRule>
    <cfRule type="containsText" dxfId="2246" priority="3399" operator="containsText" text="$H$8">
      <formula>NOT(ISERROR(SEARCH($H$8,F367)))</formula>
      <formula>$H$8</formula>
    </cfRule>
    <cfRule type="containsText" dxfId="2245" priority="3398" operator="containsText" text="$H$8">
      <formula>NOT(ISERROR(SEARCH($H$8,F367)))</formula>
      <formula>$H$8</formula>
    </cfRule>
    <cfRule type="containsText" dxfId="2244" priority="3397" operator="containsText" text="$H$9">
      <formula>NOT(ISERROR(SEARCH($H$9,F367)))</formula>
      <formula>$H$9</formula>
    </cfRule>
    <cfRule type="containsText" dxfId="2243" priority="3396" operator="containsText" text="$H$10">
      <formula>NOT(ISERROR(SEARCH($H$10,F367)))</formula>
      <formula>$H$10</formula>
    </cfRule>
    <cfRule type="containsText" dxfId="2242" priority="3395" operator="containsText" text="$H$11">
      <formula>NOT(ISERROR(SEARCH($H$11,F367)))</formula>
      <formula>$H$11</formula>
    </cfRule>
    <cfRule type="containsText" dxfId="2241" priority="3394" operator="containsText" text="$H$12">
      <formula>NOT(ISERROR(SEARCH($H$12,F367)))</formula>
      <formula>$H$12</formula>
    </cfRule>
    <cfRule type="containsText" dxfId="2240" priority="3393" operator="containsText" text="$H$13">
      <formula>NOT(ISERROR(SEARCH($H$13,F367)))</formula>
      <formula>$H$13</formula>
    </cfRule>
  </conditionalFormatting>
  <conditionalFormatting sqref="F369">
    <cfRule type="containsText" dxfId="2239" priority="3392" operator="containsText" text="$H$7">
      <formula>NOT(ISERROR(SEARCH($H$7,F369)))</formula>
      <formula>$H$7</formula>
    </cfRule>
    <cfRule type="containsText" dxfId="2238" priority="3391" operator="containsText" text="$H$8">
      <formula>NOT(ISERROR(SEARCH($H$8,F369)))</formula>
      <formula>$H$8</formula>
    </cfRule>
    <cfRule type="containsText" dxfId="2237" priority="3390" operator="containsText" text="$H$8">
      <formula>NOT(ISERROR(SEARCH($H$8,F369)))</formula>
      <formula>$H$8</formula>
    </cfRule>
    <cfRule type="containsText" dxfId="2236" priority="3389" operator="containsText" text="$H$9">
      <formula>NOT(ISERROR(SEARCH($H$9,F369)))</formula>
      <formula>$H$9</formula>
    </cfRule>
    <cfRule type="containsText" dxfId="2235" priority="3388" operator="containsText" text="$H$10">
      <formula>NOT(ISERROR(SEARCH($H$10,F369)))</formula>
      <formula>$H$10</formula>
    </cfRule>
    <cfRule type="containsText" dxfId="2234" priority="3387" operator="containsText" text="$H$11">
      <formula>NOT(ISERROR(SEARCH($H$11,F369)))</formula>
      <formula>$H$11</formula>
    </cfRule>
    <cfRule type="containsText" dxfId="2233" priority="3386" operator="containsText" text="$H$12">
      <formula>NOT(ISERROR(SEARCH($H$12,F369)))</formula>
      <formula>$H$12</formula>
    </cfRule>
    <cfRule type="containsText" dxfId="2232" priority="3385" operator="containsText" text="$H$13">
      <formula>NOT(ISERROR(SEARCH($H$13,F369)))</formula>
      <formula>$H$13</formula>
    </cfRule>
  </conditionalFormatting>
  <conditionalFormatting sqref="F369">
    <cfRule type="containsText" dxfId="2231" priority="3384" operator="containsText" text="$H$7">
      <formula>NOT(ISERROR(SEARCH($H$7,F369)))</formula>
      <formula>$H$7</formula>
    </cfRule>
    <cfRule type="containsText" dxfId="2230" priority="3383" operator="containsText" text="$H$8">
      <formula>NOT(ISERROR(SEARCH($H$8,F369)))</formula>
      <formula>$H$8</formula>
    </cfRule>
    <cfRule type="containsText" dxfId="2229" priority="3382" operator="containsText" text="$H$8">
      <formula>NOT(ISERROR(SEARCH($H$8,F369)))</formula>
      <formula>$H$8</formula>
    </cfRule>
    <cfRule type="containsText" dxfId="2228" priority="3381" operator="containsText" text="$H$9">
      <formula>NOT(ISERROR(SEARCH($H$9,F369)))</formula>
      <formula>$H$9</formula>
    </cfRule>
    <cfRule type="containsText" dxfId="2227" priority="3380" operator="containsText" text="$H$10">
      <formula>NOT(ISERROR(SEARCH($H$10,F369)))</formula>
      <formula>$H$10</formula>
    </cfRule>
    <cfRule type="containsText" dxfId="2226" priority="3379" operator="containsText" text="$H$11">
      <formula>NOT(ISERROR(SEARCH($H$11,F369)))</formula>
      <formula>$H$11</formula>
    </cfRule>
    <cfRule type="containsText" dxfId="2225" priority="3378" operator="containsText" text="$H$12">
      <formula>NOT(ISERROR(SEARCH($H$12,F369)))</formula>
      <formula>$H$12</formula>
    </cfRule>
    <cfRule type="containsText" dxfId="2224" priority="3377" operator="containsText" text="$H$13">
      <formula>NOT(ISERROR(SEARCH($H$13,F369)))</formula>
      <formula>$H$13</formula>
    </cfRule>
  </conditionalFormatting>
  <conditionalFormatting sqref="F371">
    <cfRule type="containsText" dxfId="2223" priority="3376" operator="containsText" text="$H$7">
      <formula>NOT(ISERROR(SEARCH($H$7,F371)))</formula>
      <formula>$H$7</formula>
    </cfRule>
    <cfRule type="containsText" dxfId="2222" priority="3375" operator="containsText" text="$H$8">
      <formula>NOT(ISERROR(SEARCH($H$8,F371)))</formula>
      <formula>$H$8</formula>
    </cfRule>
    <cfRule type="containsText" dxfId="2221" priority="3374" operator="containsText" text="$H$8">
      <formula>NOT(ISERROR(SEARCH($H$8,F371)))</formula>
      <formula>$H$8</formula>
    </cfRule>
    <cfRule type="containsText" dxfId="2220" priority="3373" operator="containsText" text="$H$9">
      <formula>NOT(ISERROR(SEARCH($H$9,F371)))</formula>
      <formula>$H$9</formula>
    </cfRule>
    <cfRule type="containsText" dxfId="2219" priority="3372" operator="containsText" text="$H$10">
      <formula>NOT(ISERROR(SEARCH($H$10,F371)))</formula>
      <formula>$H$10</formula>
    </cfRule>
    <cfRule type="containsText" dxfId="2218" priority="3371" operator="containsText" text="$H$11">
      <formula>NOT(ISERROR(SEARCH($H$11,F371)))</formula>
      <formula>$H$11</formula>
    </cfRule>
    <cfRule type="containsText" dxfId="2217" priority="3370" operator="containsText" text="$H$12">
      <formula>NOT(ISERROR(SEARCH($H$12,F371)))</formula>
      <formula>$H$12</formula>
    </cfRule>
    <cfRule type="containsText" dxfId="2216" priority="3369" operator="containsText" text="$H$13">
      <formula>NOT(ISERROR(SEARCH($H$13,F371)))</formula>
      <formula>$H$13</formula>
    </cfRule>
  </conditionalFormatting>
  <conditionalFormatting sqref="F371">
    <cfRule type="containsText" dxfId="2215" priority="3368" operator="containsText" text="$H$7">
      <formula>NOT(ISERROR(SEARCH($H$7,F371)))</formula>
      <formula>$H$7</formula>
    </cfRule>
    <cfRule type="containsText" dxfId="2214" priority="3367" operator="containsText" text="$H$8">
      <formula>NOT(ISERROR(SEARCH($H$8,F371)))</formula>
      <formula>$H$8</formula>
    </cfRule>
    <cfRule type="containsText" dxfId="2213" priority="3366" operator="containsText" text="$H$8">
      <formula>NOT(ISERROR(SEARCH($H$8,F371)))</formula>
      <formula>$H$8</formula>
    </cfRule>
    <cfRule type="containsText" dxfId="2212" priority="3365" operator="containsText" text="$H$9">
      <formula>NOT(ISERROR(SEARCH($H$9,F371)))</formula>
      <formula>$H$9</formula>
    </cfRule>
    <cfRule type="containsText" dxfId="2211" priority="3364" operator="containsText" text="$H$10">
      <formula>NOT(ISERROR(SEARCH($H$10,F371)))</formula>
      <formula>$H$10</formula>
    </cfRule>
    <cfRule type="containsText" dxfId="2210" priority="3363" operator="containsText" text="$H$11">
      <formula>NOT(ISERROR(SEARCH($H$11,F371)))</formula>
      <formula>$H$11</formula>
    </cfRule>
    <cfRule type="containsText" dxfId="2209" priority="3362" operator="containsText" text="$H$12">
      <formula>NOT(ISERROR(SEARCH($H$12,F371)))</formula>
      <formula>$H$12</formula>
    </cfRule>
    <cfRule type="containsText" dxfId="2208" priority="3361" operator="containsText" text="$H$13">
      <formula>NOT(ISERROR(SEARCH($H$13,F371)))</formula>
      <formula>$H$13</formula>
    </cfRule>
  </conditionalFormatting>
  <conditionalFormatting sqref="F373">
    <cfRule type="containsText" dxfId="2207" priority="3360" operator="containsText" text="$H$7">
      <formula>NOT(ISERROR(SEARCH($H$7,F373)))</formula>
      <formula>$H$7</formula>
    </cfRule>
    <cfRule type="containsText" dxfId="2206" priority="3359" operator="containsText" text="$H$8">
      <formula>NOT(ISERROR(SEARCH($H$8,F373)))</formula>
      <formula>$H$8</formula>
    </cfRule>
    <cfRule type="containsText" dxfId="2205" priority="3358" operator="containsText" text="$H$8">
      <formula>NOT(ISERROR(SEARCH($H$8,F373)))</formula>
      <formula>$H$8</formula>
    </cfRule>
    <cfRule type="containsText" dxfId="2204" priority="3357" operator="containsText" text="$H$9">
      <formula>NOT(ISERROR(SEARCH($H$9,F373)))</formula>
      <formula>$H$9</formula>
    </cfRule>
    <cfRule type="containsText" dxfId="2203" priority="3356" operator="containsText" text="$H$10">
      <formula>NOT(ISERROR(SEARCH($H$10,F373)))</formula>
      <formula>$H$10</formula>
    </cfRule>
    <cfRule type="containsText" dxfId="2202" priority="3355" operator="containsText" text="$H$11">
      <formula>NOT(ISERROR(SEARCH($H$11,F373)))</formula>
      <formula>$H$11</formula>
    </cfRule>
    <cfRule type="containsText" dxfId="2201" priority="3354" operator="containsText" text="$H$12">
      <formula>NOT(ISERROR(SEARCH($H$12,F373)))</formula>
      <formula>$H$12</formula>
    </cfRule>
    <cfRule type="containsText" dxfId="2200" priority="3353" operator="containsText" text="$H$13">
      <formula>NOT(ISERROR(SEARCH($H$13,F373)))</formula>
      <formula>$H$13</formula>
    </cfRule>
  </conditionalFormatting>
  <conditionalFormatting sqref="F373">
    <cfRule type="containsText" dxfId="2199" priority="3352" operator="containsText" text="$H$7">
      <formula>NOT(ISERROR(SEARCH($H$7,F373)))</formula>
      <formula>$H$7</formula>
    </cfRule>
    <cfRule type="containsText" dxfId="2198" priority="3351" operator="containsText" text="$H$8">
      <formula>NOT(ISERROR(SEARCH($H$8,F373)))</formula>
      <formula>$H$8</formula>
    </cfRule>
    <cfRule type="containsText" dxfId="2197" priority="3350" operator="containsText" text="$H$8">
      <formula>NOT(ISERROR(SEARCH($H$8,F373)))</formula>
      <formula>$H$8</formula>
    </cfRule>
    <cfRule type="containsText" dxfId="2196" priority="3349" operator="containsText" text="$H$9">
      <formula>NOT(ISERROR(SEARCH($H$9,F373)))</formula>
      <formula>$H$9</formula>
    </cfRule>
    <cfRule type="containsText" dxfId="2195" priority="3348" operator="containsText" text="$H$10">
      <formula>NOT(ISERROR(SEARCH($H$10,F373)))</formula>
      <formula>$H$10</formula>
    </cfRule>
    <cfRule type="containsText" dxfId="2194" priority="3347" operator="containsText" text="$H$11">
      <formula>NOT(ISERROR(SEARCH($H$11,F373)))</formula>
      <formula>$H$11</formula>
    </cfRule>
    <cfRule type="containsText" dxfId="2193" priority="3346" operator="containsText" text="$H$12">
      <formula>NOT(ISERROR(SEARCH($H$12,F373)))</formula>
      <formula>$H$12</formula>
    </cfRule>
    <cfRule type="containsText" dxfId="2192" priority="3345" operator="containsText" text="$H$13">
      <formula>NOT(ISERROR(SEARCH($H$13,F373)))</formula>
      <formula>$H$13</formula>
    </cfRule>
  </conditionalFormatting>
  <conditionalFormatting sqref="F349">
    <cfRule type="containsText" dxfId="2191" priority="3344" operator="containsText" text="$H$7">
      <formula>NOT(ISERROR(SEARCH($H$7,F349)))</formula>
      <formula>$H$7</formula>
    </cfRule>
    <cfRule type="containsText" dxfId="2190" priority="3343" operator="containsText" text="$H$8">
      <formula>NOT(ISERROR(SEARCH($H$8,F349)))</formula>
      <formula>$H$8</formula>
    </cfRule>
    <cfRule type="containsText" dxfId="2189" priority="3342" operator="containsText" text="$H$8">
      <formula>NOT(ISERROR(SEARCH($H$8,F349)))</formula>
      <formula>$H$8</formula>
    </cfRule>
    <cfRule type="containsText" dxfId="2188" priority="3341" operator="containsText" text="$H$9">
      <formula>NOT(ISERROR(SEARCH($H$9,F349)))</formula>
      <formula>$H$9</formula>
    </cfRule>
    <cfRule type="containsText" dxfId="2187" priority="3340" operator="containsText" text="$H$10">
      <formula>NOT(ISERROR(SEARCH($H$10,F349)))</formula>
      <formula>$H$10</formula>
    </cfRule>
    <cfRule type="containsText" dxfId="2186" priority="3339" operator="containsText" text="$H$11">
      <formula>NOT(ISERROR(SEARCH($H$11,F349)))</formula>
      <formula>$H$11</formula>
    </cfRule>
    <cfRule type="containsText" dxfId="2185" priority="3338" operator="containsText" text="$H$12">
      <formula>NOT(ISERROR(SEARCH($H$12,F349)))</formula>
      <formula>$H$12</formula>
    </cfRule>
    <cfRule type="containsText" dxfId="2184" priority="3337" operator="containsText" text="$H$13">
      <formula>NOT(ISERROR(SEARCH($H$13,F349)))</formula>
      <formula>$H$13</formula>
    </cfRule>
  </conditionalFormatting>
  <conditionalFormatting sqref="F349">
    <cfRule type="containsText" dxfId="2183" priority="3336" operator="containsText" text="$H$7">
      <formula>NOT(ISERROR(SEARCH($H$7,F349)))</formula>
      <formula>$H$7</formula>
    </cfRule>
    <cfRule type="containsText" dxfId="2182" priority="3335" operator="containsText" text="$H$8">
      <formula>NOT(ISERROR(SEARCH($H$8,F349)))</formula>
      <formula>$H$8</formula>
    </cfRule>
    <cfRule type="containsText" dxfId="2181" priority="3334" operator="containsText" text="$H$8">
      <formula>NOT(ISERROR(SEARCH($H$8,F349)))</formula>
      <formula>$H$8</formula>
    </cfRule>
    <cfRule type="containsText" dxfId="2180" priority="3333" operator="containsText" text="$H$9">
      <formula>NOT(ISERROR(SEARCH($H$9,F349)))</formula>
      <formula>$H$9</formula>
    </cfRule>
    <cfRule type="containsText" dxfId="2179" priority="3332" operator="containsText" text="$H$10">
      <formula>NOT(ISERROR(SEARCH($H$10,F349)))</formula>
      <formula>$H$10</formula>
    </cfRule>
    <cfRule type="containsText" dxfId="2178" priority="3331" operator="containsText" text="$H$11">
      <formula>NOT(ISERROR(SEARCH($H$11,F349)))</formula>
      <formula>$H$11</formula>
    </cfRule>
    <cfRule type="containsText" dxfId="2177" priority="3330" operator="containsText" text="$H$12">
      <formula>NOT(ISERROR(SEARCH($H$12,F349)))</formula>
      <formula>$H$12</formula>
    </cfRule>
    <cfRule type="containsText" dxfId="2176" priority="3329" operator="containsText" text="$H$13">
      <formula>NOT(ISERROR(SEARCH($H$13,F349)))</formula>
      <formula>$H$13</formula>
    </cfRule>
  </conditionalFormatting>
  <conditionalFormatting sqref="F351">
    <cfRule type="containsText" dxfId="2175" priority="3328" operator="containsText" text="$H$7">
      <formula>NOT(ISERROR(SEARCH($H$7,F351)))</formula>
      <formula>$H$7</formula>
    </cfRule>
    <cfRule type="containsText" dxfId="2174" priority="3327" operator="containsText" text="$H$8">
      <formula>NOT(ISERROR(SEARCH($H$8,F351)))</formula>
      <formula>$H$8</formula>
    </cfRule>
    <cfRule type="containsText" dxfId="2173" priority="3326" operator="containsText" text="$H$8">
      <formula>NOT(ISERROR(SEARCH($H$8,F351)))</formula>
      <formula>$H$8</formula>
    </cfRule>
    <cfRule type="containsText" dxfId="2172" priority="3325" operator="containsText" text="$H$9">
      <formula>NOT(ISERROR(SEARCH($H$9,F351)))</formula>
      <formula>$H$9</formula>
    </cfRule>
    <cfRule type="containsText" dxfId="2171" priority="3324" operator="containsText" text="$H$10">
      <formula>NOT(ISERROR(SEARCH($H$10,F351)))</formula>
      <formula>$H$10</formula>
    </cfRule>
    <cfRule type="containsText" dxfId="2170" priority="3323" operator="containsText" text="$H$11">
      <formula>NOT(ISERROR(SEARCH($H$11,F351)))</formula>
      <formula>$H$11</formula>
    </cfRule>
    <cfRule type="containsText" dxfId="2169" priority="3322" operator="containsText" text="$H$12">
      <formula>NOT(ISERROR(SEARCH($H$12,F351)))</formula>
      <formula>$H$12</formula>
    </cfRule>
    <cfRule type="containsText" dxfId="2168" priority="3321" operator="containsText" text="$H$13">
      <formula>NOT(ISERROR(SEARCH($H$13,F351)))</formula>
      <formula>$H$13</formula>
    </cfRule>
  </conditionalFormatting>
  <conditionalFormatting sqref="F351">
    <cfRule type="containsText" dxfId="2167" priority="3320" operator="containsText" text="$H$7">
      <formula>NOT(ISERROR(SEARCH($H$7,F351)))</formula>
      <formula>$H$7</formula>
    </cfRule>
    <cfRule type="containsText" dxfId="2166" priority="3319" operator="containsText" text="$H$8">
      <formula>NOT(ISERROR(SEARCH($H$8,F351)))</formula>
      <formula>$H$8</formula>
    </cfRule>
    <cfRule type="containsText" dxfId="2165" priority="3318" operator="containsText" text="$H$8">
      <formula>NOT(ISERROR(SEARCH($H$8,F351)))</formula>
      <formula>$H$8</formula>
    </cfRule>
    <cfRule type="containsText" dxfId="2164" priority="3317" operator="containsText" text="$H$9">
      <formula>NOT(ISERROR(SEARCH($H$9,F351)))</formula>
      <formula>$H$9</formula>
    </cfRule>
    <cfRule type="containsText" dxfId="2163" priority="3316" operator="containsText" text="$H$10">
      <formula>NOT(ISERROR(SEARCH($H$10,F351)))</formula>
      <formula>$H$10</formula>
    </cfRule>
    <cfRule type="containsText" dxfId="2162" priority="3315" operator="containsText" text="$H$11">
      <formula>NOT(ISERROR(SEARCH($H$11,F351)))</formula>
      <formula>$H$11</formula>
    </cfRule>
    <cfRule type="containsText" dxfId="2161" priority="3314" operator="containsText" text="$H$12">
      <formula>NOT(ISERROR(SEARCH($H$12,F351)))</formula>
      <formula>$H$12</formula>
    </cfRule>
    <cfRule type="containsText" dxfId="2160" priority="3313" operator="containsText" text="$H$13">
      <formula>NOT(ISERROR(SEARCH($H$13,F351)))</formula>
      <formula>$H$13</formula>
    </cfRule>
  </conditionalFormatting>
  <conditionalFormatting sqref="F353">
    <cfRule type="containsText" dxfId="2159" priority="3312" operator="containsText" text="$H$7">
      <formula>NOT(ISERROR(SEARCH($H$7,F353)))</formula>
      <formula>$H$7</formula>
    </cfRule>
    <cfRule type="containsText" dxfId="2158" priority="3311" operator="containsText" text="$H$8">
      <formula>NOT(ISERROR(SEARCH($H$8,F353)))</formula>
      <formula>$H$8</formula>
    </cfRule>
    <cfRule type="containsText" dxfId="2157" priority="3310" operator="containsText" text="$H$8">
      <formula>NOT(ISERROR(SEARCH($H$8,F353)))</formula>
      <formula>$H$8</formula>
    </cfRule>
    <cfRule type="containsText" dxfId="2156" priority="3309" operator="containsText" text="$H$9">
      <formula>NOT(ISERROR(SEARCH($H$9,F353)))</formula>
      <formula>$H$9</formula>
    </cfRule>
    <cfRule type="containsText" dxfId="2155" priority="3308" operator="containsText" text="$H$10">
      <formula>NOT(ISERROR(SEARCH($H$10,F353)))</formula>
      <formula>$H$10</formula>
    </cfRule>
    <cfRule type="containsText" dxfId="2154" priority="3307" operator="containsText" text="$H$11">
      <formula>NOT(ISERROR(SEARCH($H$11,F353)))</formula>
      <formula>$H$11</formula>
    </cfRule>
    <cfRule type="containsText" dxfId="2153" priority="3306" operator="containsText" text="$H$12">
      <formula>NOT(ISERROR(SEARCH($H$12,F353)))</formula>
      <formula>$H$12</formula>
    </cfRule>
    <cfRule type="containsText" dxfId="2152" priority="3305" operator="containsText" text="$H$13">
      <formula>NOT(ISERROR(SEARCH($H$13,F353)))</formula>
      <formula>$H$13</formula>
    </cfRule>
  </conditionalFormatting>
  <conditionalFormatting sqref="F353">
    <cfRule type="containsText" dxfId="2151" priority="3304" operator="containsText" text="$H$7">
      <formula>NOT(ISERROR(SEARCH($H$7,F353)))</formula>
      <formula>$H$7</formula>
    </cfRule>
    <cfRule type="containsText" dxfId="2150" priority="3303" operator="containsText" text="$H$8">
      <formula>NOT(ISERROR(SEARCH($H$8,F353)))</formula>
      <formula>$H$8</formula>
    </cfRule>
    <cfRule type="containsText" dxfId="2149" priority="3302" operator="containsText" text="$H$8">
      <formula>NOT(ISERROR(SEARCH($H$8,F353)))</formula>
      <formula>$H$8</formula>
    </cfRule>
    <cfRule type="containsText" dxfId="2148" priority="3301" operator="containsText" text="$H$9">
      <formula>NOT(ISERROR(SEARCH($H$9,F353)))</formula>
      <formula>$H$9</formula>
    </cfRule>
    <cfRule type="containsText" dxfId="2147" priority="3300" operator="containsText" text="$H$10">
      <formula>NOT(ISERROR(SEARCH($H$10,F353)))</formula>
      <formula>$H$10</formula>
    </cfRule>
    <cfRule type="containsText" dxfId="2146" priority="3299" operator="containsText" text="$H$11">
      <formula>NOT(ISERROR(SEARCH($H$11,F353)))</formula>
      <formula>$H$11</formula>
    </cfRule>
    <cfRule type="containsText" dxfId="2145" priority="3298" operator="containsText" text="$H$12">
      <formula>NOT(ISERROR(SEARCH($H$12,F353)))</formula>
      <formula>$H$12</formula>
    </cfRule>
    <cfRule type="containsText" dxfId="2144" priority="3297" operator="containsText" text="$H$13">
      <formula>NOT(ISERROR(SEARCH($H$13,F353)))</formula>
      <formula>$H$13</formula>
    </cfRule>
  </conditionalFormatting>
  <conditionalFormatting sqref="F355">
    <cfRule type="containsText" dxfId="2143" priority="3296" operator="containsText" text="$H$7">
      <formula>NOT(ISERROR(SEARCH($H$7,F355)))</formula>
      <formula>$H$7</formula>
    </cfRule>
    <cfRule type="containsText" dxfId="2142" priority="3295" operator="containsText" text="$H$8">
      <formula>NOT(ISERROR(SEARCH($H$8,F355)))</formula>
      <formula>$H$8</formula>
    </cfRule>
    <cfRule type="containsText" dxfId="2141" priority="3294" operator="containsText" text="$H$8">
      <formula>NOT(ISERROR(SEARCH($H$8,F355)))</formula>
      <formula>$H$8</formula>
    </cfRule>
    <cfRule type="containsText" dxfId="2140" priority="3293" operator="containsText" text="$H$9">
      <formula>NOT(ISERROR(SEARCH($H$9,F355)))</formula>
      <formula>$H$9</formula>
    </cfRule>
    <cfRule type="containsText" dxfId="2139" priority="3292" operator="containsText" text="$H$10">
      <formula>NOT(ISERROR(SEARCH($H$10,F355)))</formula>
      <formula>$H$10</formula>
    </cfRule>
    <cfRule type="containsText" dxfId="2138" priority="3291" operator="containsText" text="$H$11">
      <formula>NOT(ISERROR(SEARCH($H$11,F355)))</formula>
      <formula>$H$11</formula>
    </cfRule>
    <cfRule type="containsText" dxfId="2137" priority="3290" operator="containsText" text="$H$12">
      <formula>NOT(ISERROR(SEARCH($H$12,F355)))</formula>
      <formula>$H$12</formula>
    </cfRule>
    <cfRule type="containsText" dxfId="2136" priority="3289" operator="containsText" text="$H$13">
      <formula>NOT(ISERROR(SEARCH($H$13,F355)))</formula>
      <formula>$H$13</formula>
    </cfRule>
  </conditionalFormatting>
  <conditionalFormatting sqref="F355">
    <cfRule type="containsText" dxfId="2135" priority="3288" operator="containsText" text="$H$7">
      <formula>NOT(ISERROR(SEARCH($H$7,F355)))</formula>
      <formula>$H$7</formula>
    </cfRule>
    <cfRule type="containsText" dxfId="2134" priority="3287" operator="containsText" text="$H$8">
      <formula>NOT(ISERROR(SEARCH($H$8,F355)))</formula>
      <formula>$H$8</formula>
    </cfRule>
    <cfRule type="containsText" dxfId="2133" priority="3286" operator="containsText" text="$H$8">
      <formula>NOT(ISERROR(SEARCH($H$8,F355)))</formula>
      <formula>$H$8</formula>
    </cfRule>
    <cfRule type="containsText" dxfId="2132" priority="3285" operator="containsText" text="$H$9">
      <formula>NOT(ISERROR(SEARCH($H$9,F355)))</formula>
      <formula>$H$9</formula>
    </cfRule>
    <cfRule type="containsText" dxfId="2131" priority="3284" operator="containsText" text="$H$10">
      <formula>NOT(ISERROR(SEARCH($H$10,F355)))</formula>
      <formula>$H$10</formula>
    </cfRule>
    <cfRule type="containsText" dxfId="2130" priority="3283" operator="containsText" text="$H$11">
      <formula>NOT(ISERROR(SEARCH($H$11,F355)))</formula>
      <formula>$H$11</formula>
    </cfRule>
    <cfRule type="containsText" dxfId="2129" priority="3282" operator="containsText" text="$H$12">
      <formula>NOT(ISERROR(SEARCH($H$12,F355)))</formula>
      <formula>$H$12</formula>
    </cfRule>
    <cfRule type="containsText" dxfId="2128" priority="3281" operator="containsText" text="$H$13">
      <formula>NOT(ISERROR(SEARCH($H$13,F355)))</formula>
      <formula>$H$13</formula>
    </cfRule>
  </conditionalFormatting>
  <conditionalFormatting sqref="D387">
    <cfRule type="containsText" dxfId="2127" priority="3280" operator="containsText" text="$H$7">
      <formula>NOT(ISERROR(SEARCH($H$7,D387)))</formula>
      <formula>$H$7</formula>
    </cfRule>
    <cfRule type="containsText" dxfId="2126" priority="3279" operator="containsText" text="$H$8">
      <formula>NOT(ISERROR(SEARCH($H$8,D387)))</formula>
      <formula>$H$8</formula>
    </cfRule>
    <cfRule type="containsText" dxfId="2125" priority="3278" operator="containsText" text="$H$8">
      <formula>NOT(ISERROR(SEARCH($H$8,D387)))</formula>
      <formula>$H$8</formula>
    </cfRule>
    <cfRule type="containsText" dxfId="2124" priority="3277" operator="containsText" text="$H$9">
      <formula>NOT(ISERROR(SEARCH($H$9,D387)))</formula>
      <formula>$H$9</formula>
    </cfRule>
    <cfRule type="containsText" dxfId="2123" priority="3276" operator="containsText" text="$H$10">
      <formula>NOT(ISERROR(SEARCH($H$10,D387)))</formula>
      <formula>$H$10</formula>
    </cfRule>
    <cfRule type="containsText" dxfId="2122" priority="3275" operator="containsText" text="$H$11">
      <formula>NOT(ISERROR(SEARCH($H$11,D387)))</formula>
      <formula>$H$11</formula>
    </cfRule>
    <cfRule type="containsText" dxfId="2121" priority="3274" operator="containsText" text="$H$12">
      <formula>NOT(ISERROR(SEARCH($H$12,D387)))</formula>
      <formula>$H$12</formula>
    </cfRule>
    <cfRule type="containsText" dxfId="2120" priority="3273" operator="containsText" text="$H$13">
      <formula>NOT(ISERROR(SEARCH($H$13,D387)))</formula>
      <formula>$H$13</formula>
    </cfRule>
  </conditionalFormatting>
  <conditionalFormatting sqref="D389">
    <cfRule type="containsText" dxfId="2119" priority="3272" operator="containsText" text="$H$7">
      <formula>NOT(ISERROR(SEARCH($H$7,D389)))</formula>
      <formula>$H$7</formula>
    </cfRule>
    <cfRule type="containsText" dxfId="2118" priority="3271" operator="containsText" text="$H$8">
      <formula>NOT(ISERROR(SEARCH($H$8,D389)))</formula>
      <formula>$H$8</formula>
    </cfRule>
    <cfRule type="containsText" dxfId="2117" priority="3270" operator="containsText" text="$H$8">
      <formula>NOT(ISERROR(SEARCH($H$8,D389)))</formula>
      <formula>$H$8</formula>
    </cfRule>
    <cfRule type="containsText" dxfId="2116" priority="3269" operator="containsText" text="$H$9">
      <formula>NOT(ISERROR(SEARCH($H$9,D389)))</formula>
      <formula>$H$9</formula>
    </cfRule>
    <cfRule type="containsText" dxfId="2115" priority="3268" operator="containsText" text="$H$10">
      <formula>NOT(ISERROR(SEARCH($H$10,D389)))</formula>
      <formula>$H$10</formula>
    </cfRule>
    <cfRule type="containsText" dxfId="2114" priority="3267" operator="containsText" text="$H$11">
      <formula>NOT(ISERROR(SEARCH($H$11,D389)))</formula>
      <formula>$H$11</formula>
    </cfRule>
    <cfRule type="containsText" dxfId="2113" priority="3266" operator="containsText" text="$H$12">
      <formula>NOT(ISERROR(SEARCH($H$12,D389)))</formula>
      <formula>$H$12</formula>
    </cfRule>
    <cfRule type="containsText" dxfId="2112" priority="3265" operator="containsText" text="$H$13">
      <formula>NOT(ISERROR(SEARCH($H$13,D389)))</formula>
      <formula>$H$13</formula>
    </cfRule>
  </conditionalFormatting>
  <conditionalFormatting sqref="D391">
    <cfRule type="containsText" dxfId="2111" priority="3264" operator="containsText" text="$H$7">
      <formula>NOT(ISERROR(SEARCH($H$7,D391)))</formula>
      <formula>$H$7</formula>
    </cfRule>
    <cfRule type="containsText" dxfId="2110" priority="3263" operator="containsText" text="$H$8">
      <formula>NOT(ISERROR(SEARCH($H$8,D391)))</formula>
      <formula>$H$8</formula>
    </cfRule>
    <cfRule type="containsText" dxfId="2109" priority="3262" operator="containsText" text="$H$8">
      <formula>NOT(ISERROR(SEARCH($H$8,D391)))</formula>
      <formula>$H$8</formula>
    </cfRule>
    <cfRule type="containsText" dxfId="2108" priority="3261" operator="containsText" text="$H$9">
      <formula>NOT(ISERROR(SEARCH($H$9,D391)))</formula>
      <formula>$H$9</formula>
    </cfRule>
    <cfRule type="containsText" dxfId="2107" priority="3260" operator="containsText" text="$H$10">
      <formula>NOT(ISERROR(SEARCH($H$10,D391)))</formula>
      <formula>$H$10</formula>
    </cfRule>
    <cfRule type="containsText" dxfId="2106" priority="3259" operator="containsText" text="$H$11">
      <formula>NOT(ISERROR(SEARCH($H$11,D391)))</formula>
      <formula>$H$11</formula>
    </cfRule>
    <cfRule type="containsText" dxfId="2105" priority="3258" operator="containsText" text="$H$12">
      <formula>NOT(ISERROR(SEARCH($H$12,D391)))</formula>
      <formula>$H$12</formula>
    </cfRule>
    <cfRule type="containsText" dxfId="2104" priority="3257" operator="containsText" text="$H$13">
      <formula>NOT(ISERROR(SEARCH($H$13,D391)))</formula>
      <formula>$H$13</formula>
    </cfRule>
  </conditionalFormatting>
  <conditionalFormatting sqref="F385">
    <cfRule type="containsText" dxfId="2103" priority="3256" operator="containsText" text="$H$7">
      <formula>NOT(ISERROR(SEARCH($H$7,F385)))</formula>
      <formula>$H$7</formula>
    </cfRule>
    <cfRule type="containsText" dxfId="2102" priority="3255" operator="containsText" text="$H$8">
      <formula>NOT(ISERROR(SEARCH($H$8,F385)))</formula>
      <formula>$H$8</formula>
    </cfRule>
    <cfRule type="containsText" dxfId="2101" priority="3254" operator="containsText" text="$H$8">
      <formula>NOT(ISERROR(SEARCH($H$8,F385)))</formula>
      <formula>$H$8</formula>
    </cfRule>
    <cfRule type="containsText" dxfId="2100" priority="3253" operator="containsText" text="$H$9">
      <formula>NOT(ISERROR(SEARCH($H$9,F385)))</formula>
      <formula>$H$9</formula>
    </cfRule>
    <cfRule type="containsText" dxfId="2099" priority="3252" operator="containsText" text="$H$10">
      <formula>NOT(ISERROR(SEARCH($H$10,F385)))</formula>
      <formula>$H$10</formula>
    </cfRule>
    <cfRule type="containsText" dxfId="2098" priority="3251" operator="containsText" text="$H$11">
      <formula>NOT(ISERROR(SEARCH($H$11,F385)))</formula>
      <formula>$H$11</formula>
    </cfRule>
    <cfRule type="containsText" dxfId="2097" priority="3250" operator="containsText" text="$H$12">
      <formula>NOT(ISERROR(SEARCH($H$12,F385)))</formula>
      <formula>$H$12</formula>
    </cfRule>
    <cfRule type="containsText" dxfId="2096" priority="3249" operator="containsText" text="$H$13">
      <formula>NOT(ISERROR(SEARCH($H$13,F385)))</formula>
      <formula>$H$13</formula>
    </cfRule>
  </conditionalFormatting>
  <conditionalFormatting sqref="F387">
    <cfRule type="containsText" dxfId="2095" priority="3248" operator="containsText" text="$H$7">
      <formula>NOT(ISERROR(SEARCH($H$7,F387)))</formula>
      <formula>$H$7</formula>
    </cfRule>
    <cfRule type="containsText" dxfId="2094" priority="3247" operator="containsText" text="$H$8">
      <formula>NOT(ISERROR(SEARCH($H$8,F387)))</formula>
      <formula>$H$8</formula>
    </cfRule>
    <cfRule type="containsText" dxfId="2093" priority="3246" operator="containsText" text="$H$8">
      <formula>NOT(ISERROR(SEARCH($H$8,F387)))</formula>
      <formula>$H$8</formula>
    </cfRule>
    <cfRule type="containsText" dxfId="2092" priority="3245" operator="containsText" text="$H$9">
      <formula>NOT(ISERROR(SEARCH($H$9,F387)))</formula>
      <formula>$H$9</formula>
    </cfRule>
    <cfRule type="containsText" dxfId="2091" priority="3244" operator="containsText" text="$H$10">
      <formula>NOT(ISERROR(SEARCH($H$10,F387)))</formula>
      <formula>$H$10</formula>
    </cfRule>
    <cfRule type="containsText" dxfId="2090" priority="3243" operator="containsText" text="$H$11">
      <formula>NOT(ISERROR(SEARCH($H$11,F387)))</formula>
      <formula>$H$11</formula>
    </cfRule>
    <cfRule type="containsText" dxfId="2089" priority="3242" operator="containsText" text="$H$12">
      <formula>NOT(ISERROR(SEARCH($H$12,F387)))</formula>
      <formula>$H$12</formula>
    </cfRule>
    <cfRule type="containsText" dxfId="2088" priority="3241" operator="containsText" text="$H$13">
      <formula>NOT(ISERROR(SEARCH($H$13,F387)))</formula>
      <formula>$H$13</formula>
    </cfRule>
  </conditionalFormatting>
  <conditionalFormatting sqref="F389">
    <cfRule type="containsText" dxfId="2087" priority="3240" operator="containsText" text="$H$7">
      <formula>NOT(ISERROR(SEARCH($H$7,F389)))</formula>
      <formula>$H$7</formula>
    </cfRule>
    <cfRule type="containsText" dxfId="2086" priority="3239" operator="containsText" text="$H$8">
      <formula>NOT(ISERROR(SEARCH($H$8,F389)))</formula>
      <formula>$H$8</formula>
    </cfRule>
    <cfRule type="containsText" dxfId="2085" priority="3238" operator="containsText" text="$H$8">
      <formula>NOT(ISERROR(SEARCH($H$8,F389)))</formula>
      <formula>$H$8</formula>
    </cfRule>
    <cfRule type="containsText" dxfId="2084" priority="3237" operator="containsText" text="$H$9">
      <formula>NOT(ISERROR(SEARCH($H$9,F389)))</formula>
      <formula>$H$9</formula>
    </cfRule>
    <cfRule type="containsText" dxfId="2083" priority="3236" operator="containsText" text="$H$10">
      <formula>NOT(ISERROR(SEARCH($H$10,F389)))</formula>
      <formula>$H$10</formula>
    </cfRule>
    <cfRule type="containsText" dxfId="2082" priority="3235" operator="containsText" text="$H$11">
      <formula>NOT(ISERROR(SEARCH($H$11,F389)))</formula>
      <formula>$H$11</formula>
    </cfRule>
    <cfRule type="containsText" dxfId="2081" priority="3234" operator="containsText" text="$H$12">
      <formula>NOT(ISERROR(SEARCH($H$12,F389)))</formula>
      <formula>$H$12</formula>
    </cfRule>
    <cfRule type="containsText" dxfId="2080" priority="3233" operator="containsText" text="$H$13">
      <formula>NOT(ISERROR(SEARCH($H$13,F389)))</formula>
      <formula>$H$13</formula>
    </cfRule>
  </conditionalFormatting>
  <conditionalFormatting sqref="F391">
    <cfRule type="containsText" dxfId="2079" priority="3232" operator="containsText" text="$H$7">
      <formula>NOT(ISERROR(SEARCH($H$7,F391)))</formula>
      <formula>$H$7</formula>
    </cfRule>
    <cfRule type="containsText" dxfId="2078" priority="3231" operator="containsText" text="$H$8">
      <formula>NOT(ISERROR(SEARCH($H$8,F391)))</formula>
      <formula>$H$8</formula>
    </cfRule>
    <cfRule type="containsText" dxfId="2077" priority="3230" operator="containsText" text="$H$8">
      <formula>NOT(ISERROR(SEARCH($H$8,F391)))</formula>
      <formula>$H$8</formula>
    </cfRule>
    <cfRule type="containsText" dxfId="2076" priority="3229" operator="containsText" text="$H$9">
      <formula>NOT(ISERROR(SEARCH($H$9,F391)))</formula>
      <formula>$H$9</formula>
    </cfRule>
    <cfRule type="containsText" dxfId="2075" priority="3228" operator="containsText" text="$H$10">
      <formula>NOT(ISERROR(SEARCH($H$10,F391)))</formula>
      <formula>$H$10</formula>
    </cfRule>
    <cfRule type="containsText" dxfId="2074" priority="3227" operator="containsText" text="$H$11">
      <formula>NOT(ISERROR(SEARCH($H$11,F391)))</formula>
      <formula>$H$11</formula>
    </cfRule>
    <cfRule type="containsText" dxfId="2073" priority="3226" operator="containsText" text="$H$12">
      <formula>NOT(ISERROR(SEARCH($H$12,F391)))</formula>
      <formula>$H$12</formula>
    </cfRule>
    <cfRule type="containsText" dxfId="2072" priority="3225" operator="containsText" text="$H$13">
      <formula>NOT(ISERROR(SEARCH($H$13,F391)))</formula>
      <formula>$H$13</formula>
    </cfRule>
  </conditionalFormatting>
  <conditionalFormatting sqref="B403">
    <cfRule type="containsText" dxfId="2071" priority="3200" operator="containsText" text="$H$7">
      <formula>NOT(ISERROR(SEARCH($H$7,B403)))</formula>
      <formula>$H$7</formula>
    </cfRule>
    <cfRule type="containsText" dxfId="2070" priority="3199" operator="containsText" text="$H$8">
      <formula>NOT(ISERROR(SEARCH($H$8,B403)))</formula>
      <formula>$H$8</formula>
    </cfRule>
    <cfRule type="containsText" dxfId="2069" priority="3198" operator="containsText" text="$H$8">
      <formula>NOT(ISERROR(SEARCH($H$8,B403)))</formula>
      <formula>$H$8</formula>
    </cfRule>
    <cfRule type="containsText" dxfId="2068" priority="3197" operator="containsText" text="$H$9">
      <formula>NOT(ISERROR(SEARCH($H$9,B403)))</formula>
      <formula>$H$9</formula>
    </cfRule>
    <cfRule type="containsText" dxfId="2067" priority="3196" operator="containsText" text="$H$10">
      <formula>NOT(ISERROR(SEARCH($H$10,B403)))</formula>
      <formula>$H$10</formula>
    </cfRule>
    <cfRule type="containsText" dxfId="2066" priority="3195" operator="containsText" text="$H$11">
      <formula>NOT(ISERROR(SEARCH($H$11,B403)))</formula>
      <formula>$H$11</formula>
    </cfRule>
    <cfRule type="containsText" dxfId="2065" priority="3194" operator="containsText" text="$H$12">
      <formula>NOT(ISERROR(SEARCH($H$12,B403)))</formula>
      <formula>$H$12</formula>
    </cfRule>
    <cfRule type="containsText" dxfId="2064" priority="3193" operator="containsText" text="$H$13">
      <formula>NOT(ISERROR(SEARCH($H$13,B403)))</formula>
      <formula>$H$13</formula>
    </cfRule>
  </conditionalFormatting>
  <conditionalFormatting sqref="B405">
    <cfRule type="containsText" dxfId="2063" priority="3192" operator="containsText" text="$H$7">
      <formula>NOT(ISERROR(SEARCH($H$7,B405)))</formula>
      <formula>$H$7</formula>
    </cfRule>
    <cfRule type="containsText" dxfId="2062" priority="3191" operator="containsText" text="$H$8">
      <formula>NOT(ISERROR(SEARCH($H$8,B405)))</formula>
      <formula>$H$8</formula>
    </cfRule>
    <cfRule type="containsText" dxfId="2061" priority="3190" operator="containsText" text="$H$8">
      <formula>NOT(ISERROR(SEARCH($H$8,B405)))</formula>
      <formula>$H$8</formula>
    </cfRule>
    <cfRule type="containsText" dxfId="2060" priority="3189" operator="containsText" text="$H$9">
      <formula>NOT(ISERROR(SEARCH($H$9,B405)))</formula>
      <formula>$H$9</formula>
    </cfRule>
    <cfRule type="containsText" dxfId="2059" priority="3188" operator="containsText" text="$H$10">
      <formula>NOT(ISERROR(SEARCH($H$10,B405)))</formula>
      <formula>$H$10</formula>
    </cfRule>
    <cfRule type="containsText" dxfId="2058" priority="3187" operator="containsText" text="$H$11">
      <formula>NOT(ISERROR(SEARCH($H$11,B405)))</formula>
      <formula>$H$11</formula>
    </cfRule>
    <cfRule type="containsText" dxfId="2057" priority="3186" operator="containsText" text="$H$12">
      <formula>NOT(ISERROR(SEARCH($H$12,B405)))</formula>
      <formula>$H$12</formula>
    </cfRule>
    <cfRule type="containsText" dxfId="2056" priority="3185" operator="containsText" text="$H$13">
      <formula>NOT(ISERROR(SEARCH($H$13,B405)))</formula>
      <formula>$H$13</formula>
    </cfRule>
  </conditionalFormatting>
  <conditionalFormatting sqref="B407">
    <cfRule type="containsText" dxfId="2055" priority="3184" operator="containsText" text="$H$7">
      <formula>NOT(ISERROR(SEARCH($H$7,B407)))</formula>
      <formula>$H$7</formula>
    </cfRule>
    <cfRule type="containsText" dxfId="2054" priority="3183" operator="containsText" text="$H$8">
      <formula>NOT(ISERROR(SEARCH($H$8,B407)))</formula>
      <formula>$H$8</formula>
    </cfRule>
    <cfRule type="containsText" dxfId="2053" priority="3182" operator="containsText" text="$H$8">
      <formula>NOT(ISERROR(SEARCH($H$8,B407)))</formula>
      <formula>$H$8</formula>
    </cfRule>
    <cfRule type="containsText" dxfId="2052" priority="3181" operator="containsText" text="$H$9">
      <formula>NOT(ISERROR(SEARCH($H$9,B407)))</formula>
      <formula>$H$9</formula>
    </cfRule>
    <cfRule type="containsText" dxfId="2051" priority="3180" operator="containsText" text="$H$10">
      <formula>NOT(ISERROR(SEARCH($H$10,B407)))</formula>
      <formula>$H$10</formula>
    </cfRule>
    <cfRule type="containsText" dxfId="2050" priority="3179" operator="containsText" text="$H$11">
      <formula>NOT(ISERROR(SEARCH($H$11,B407)))</formula>
      <formula>$H$11</formula>
    </cfRule>
    <cfRule type="containsText" dxfId="2049" priority="3178" operator="containsText" text="$H$12">
      <formula>NOT(ISERROR(SEARCH($H$12,B407)))</formula>
      <formula>$H$12</formula>
    </cfRule>
    <cfRule type="containsText" dxfId="2048" priority="3177" operator="containsText" text="$H$13">
      <formula>NOT(ISERROR(SEARCH($H$13,B407)))</formula>
      <formula>$H$13</formula>
    </cfRule>
  </conditionalFormatting>
  <conditionalFormatting sqref="B409">
    <cfRule type="containsText" dxfId="2047" priority="3176" operator="containsText" text="$H$7">
      <formula>NOT(ISERROR(SEARCH($H$7,B409)))</formula>
      <formula>$H$7</formula>
    </cfRule>
    <cfRule type="containsText" dxfId="2046" priority="3175" operator="containsText" text="$H$8">
      <formula>NOT(ISERROR(SEARCH($H$8,B409)))</formula>
      <formula>$H$8</formula>
    </cfRule>
    <cfRule type="containsText" dxfId="2045" priority="3174" operator="containsText" text="$H$8">
      <formula>NOT(ISERROR(SEARCH($H$8,B409)))</formula>
      <formula>$H$8</formula>
    </cfRule>
    <cfRule type="containsText" dxfId="2044" priority="3173" operator="containsText" text="$H$9">
      <formula>NOT(ISERROR(SEARCH($H$9,B409)))</formula>
      <formula>$H$9</formula>
    </cfRule>
    <cfRule type="containsText" dxfId="2043" priority="3172" operator="containsText" text="$H$10">
      <formula>NOT(ISERROR(SEARCH($H$10,B409)))</formula>
      <formula>$H$10</formula>
    </cfRule>
    <cfRule type="containsText" dxfId="2042" priority="3171" operator="containsText" text="$H$11">
      <formula>NOT(ISERROR(SEARCH($H$11,B409)))</formula>
      <formula>$H$11</formula>
    </cfRule>
    <cfRule type="containsText" dxfId="2041" priority="3170" operator="containsText" text="$H$12">
      <formula>NOT(ISERROR(SEARCH($H$12,B409)))</formula>
      <formula>$H$12</formula>
    </cfRule>
    <cfRule type="containsText" dxfId="2040" priority="3169" operator="containsText" text="$H$13">
      <formula>NOT(ISERROR(SEARCH($H$13,B409)))</formula>
      <formula>$H$13</formula>
    </cfRule>
  </conditionalFormatting>
  <conditionalFormatting sqref="F429">
    <cfRule type="containsText" dxfId="2039" priority="3104" operator="containsText" text="$H$7">
      <formula>NOT(ISERROR(SEARCH($H$7,F429)))</formula>
      <formula>$H$7</formula>
    </cfRule>
    <cfRule type="containsText" dxfId="2038" priority="3103" operator="containsText" text="$H$8">
      <formula>NOT(ISERROR(SEARCH($H$8,F429)))</formula>
      <formula>$H$8</formula>
    </cfRule>
    <cfRule type="containsText" dxfId="2037" priority="3102" operator="containsText" text="$H$8">
      <formula>NOT(ISERROR(SEARCH($H$8,F429)))</formula>
      <formula>$H$8</formula>
    </cfRule>
    <cfRule type="containsText" dxfId="2036" priority="3101" operator="containsText" text="$H$9">
      <formula>NOT(ISERROR(SEARCH($H$9,F429)))</formula>
      <formula>$H$9</formula>
    </cfRule>
    <cfRule type="containsText" dxfId="2035" priority="3100" operator="containsText" text="$H$10">
      <formula>NOT(ISERROR(SEARCH($H$10,F429)))</formula>
      <formula>$H$10</formula>
    </cfRule>
    <cfRule type="containsText" dxfId="2034" priority="3099" operator="containsText" text="$H$11">
      <formula>NOT(ISERROR(SEARCH($H$11,F429)))</formula>
      <formula>$H$11</formula>
    </cfRule>
    <cfRule type="containsText" dxfId="2033" priority="3098" operator="containsText" text="$H$12">
      <formula>NOT(ISERROR(SEARCH($H$12,F429)))</formula>
      <formula>$H$12</formula>
    </cfRule>
    <cfRule type="containsText" dxfId="2032" priority="3097" operator="containsText" text="$H$13">
      <formula>NOT(ISERROR(SEARCH($H$13,F429)))</formula>
      <formula>$H$13</formula>
    </cfRule>
  </conditionalFormatting>
  <conditionalFormatting sqref="D423">
    <cfRule type="containsText" dxfId="2031" priority="3080" operator="containsText" text="$H$7">
      <formula>NOT(ISERROR(SEARCH($H$7,D423)))</formula>
      <formula>$H$7</formula>
    </cfRule>
    <cfRule type="containsText" dxfId="2030" priority="3079" operator="containsText" text="$H$8">
      <formula>NOT(ISERROR(SEARCH($H$8,D423)))</formula>
      <formula>$H$8</formula>
    </cfRule>
    <cfRule type="containsText" dxfId="2029" priority="3078" operator="containsText" text="$H$8">
      <formula>NOT(ISERROR(SEARCH($H$8,D423)))</formula>
      <formula>$H$8</formula>
    </cfRule>
    <cfRule type="containsText" dxfId="2028" priority="3077" operator="containsText" text="$H$9">
      <formula>NOT(ISERROR(SEARCH($H$9,D423)))</formula>
      <formula>$H$9</formula>
    </cfRule>
    <cfRule type="containsText" dxfId="2027" priority="3076" operator="containsText" text="$H$10">
      <formula>NOT(ISERROR(SEARCH($H$10,D423)))</formula>
      <formula>$H$10</formula>
    </cfRule>
    <cfRule type="containsText" dxfId="2026" priority="3075" operator="containsText" text="$H$11">
      <formula>NOT(ISERROR(SEARCH($H$11,D423)))</formula>
      <formula>$H$11</formula>
    </cfRule>
    <cfRule type="containsText" dxfId="2025" priority="3074" operator="containsText" text="$H$12">
      <formula>NOT(ISERROR(SEARCH($H$12,D423)))</formula>
      <formula>$H$12</formula>
    </cfRule>
    <cfRule type="containsText" dxfId="2024" priority="3073" operator="containsText" text="$H$13">
      <formula>NOT(ISERROR(SEARCH($H$13,D423)))</formula>
      <formula>$H$13</formula>
    </cfRule>
  </conditionalFormatting>
  <conditionalFormatting sqref="D425">
    <cfRule type="containsText" dxfId="2023" priority="3072" operator="containsText" text="$H$7">
      <formula>NOT(ISERROR(SEARCH($H$7,D425)))</formula>
      <formula>$H$7</formula>
    </cfRule>
    <cfRule type="containsText" dxfId="2022" priority="3071" operator="containsText" text="$H$8">
      <formula>NOT(ISERROR(SEARCH($H$8,D425)))</formula>
      <formula>$H$8</formula>
    </cfRule>
    <cfRule type="containsText" dxfId="2021" priority="3070" operator="containsText" text="$H$8">
      <formula>NOT(ISERROR(SEARCH($H$8,D425)))</formula>
      <formula>$H$8</formula>
    </cfRule>
    <cfRule type="containsText" dxfId="2020" priority="3069" operator="containsText" text="$H$9">
      <formula>NOT(ISERROR(SEARCH($H$9,D425)))</formula>
      <formula>$H$9</formula>
    </cfRule>
    <cfRule type="containsText" dxfId="2019" priority="3068" operator="containsText" text="$H$10">
      <formula>NOT(ISERROR(SEARCH($H$10,D425)))</formula>
      <formula>$H$10</formula>
    </cfRule>
    <cfRule type="containsText" dxfId="2018" priority="3067" operator="containsText" text="$H$11">
      <formula>NOT(ISERROR(SEARCH($H$11,D425)))</formula>
      <formula>$H$11</formula>
    </cfRule>
    <cfRule type="containsText" dxfId="2017" priority="3066" operator="containsText" text="$H$12">
      <formula>NOT(ISERROR(SEARCH($H$12,D425)))</formula>
      <formula>$H$12</formula>
    </cfRule>
    <cfRule type="containsText" dxfId="2016" priority="3065" operator="containsText" text="$H$13">
      <formula>NOT(ISERROR(SEARCH($H$13,D425)))</formula>
      <formula>$H$13</formula>
    </cfRule>
  </conditionalFormatting>
  <conditionalFormatting sqref="D427">
    <cfRule type="containsText" dxfId="2015" priority="3064" operator="containsText" text="$H$7">
      <formula>NOT(ISERROR(SEARCH($H$7,D427)))</formula>
      <formula>$H$7</formula>
    </cfRule>
    <cfRule type="containsText" dxfId="2014" priority="3063" operator="containsText" text="$H$8">
      <formula>NOT(ISERROR(SEARCH($H$8,D427)))</formula>
      <formula>$H$8</formula>
    </cfRule>
    <cfRule type="containsText" dxfId="2013" priority="3062" operator="containsText" text="$H$8">
      <formula>NOT(ISERROR(SEARCH($H$8,D427)))</formula>
      <formula>$H$8</formula>
    </cfRule>
    <cfRule type="containsText" dxfId="2012" priority="3061" operator="containsText" text="$H$9">
      <formula>NOT(ISERROR(SEARCH($H$9,D427)))</formula>
      <formula>$H$9</formula>
    </cfRule>
    <cfRule type="containsText" dxfId="2011" priority="3060" operator="containsText" text="$H$10">
      <formula>NOT(ISERROR(SEARCH($H$10,D427)))</formula>
      <formula>$H$10</formula>
    </cfRule>
    <cfRule type="containsText" dxfId="2010" priority="3059" operator="containsText" text="$H$11">
      <formula>NOT(ISERROR(SEARCH($H$11,D427)))</formula>
      <formula>$H$11</formula>
    </cfRule>
    <cfRule type="containsText" dxfId="2009" priority="3058" operator="containsText" text="$H$12">
      <formula>NOT(ISERROR(SEARCH($H$12,D427)))</formula>
      <formula>$H$12</formula>
    </cfRule>
    <cfRule type="containsText" dxfId="2008" priority="3057" operator="containsText" text="$H$13">
      <formula>NOT(ISERROR(SEARCH($H$13,D427)))</formula>
      <formula>$H$13</formula>
    </cfRule>
  </conditionalFormatting>
  <conditionalFormatting sqref="D439">
    <cfRule type="containsText" dxfId="2007" priority="3056" operator="containsText" text="$H$7">
      <formula>NOT(ISERROR(SEARCH($H$7,D439)))</formula>
      <formula>$H$7</formula>
    </cfRule>
    <cfRule type="containsText" dxfId="2006" priority="3055" operator="containsText" text="$H$8">
      <formula>NOT(ISERROR(SEARCH($H$8,D439)))</formula>
      <formula>$H$8</formula>
    </cfRule>
    <cfRule type="containsText" dxfId="2005" priority="3054" operator="containsText" text="$H$8">
      <formula>NOT(ISERROR(SEARCH($H$8,D439)))</formula>
      <formula>$H$8</formula>
    </cfRule>
    <cfRule type="containsText" dxfId="2004" priority="3053" operator="containsText" text="$H$9">
      <formula>NOT(ISERROR(SEARCH($H$9,D439)))</formula>
      <formula>$H$9</formula>
    </cfRule>
    <cfRule type="containsText" dxfId="2003" priority="3052" operator="containsText" text="$H$10">
      <formula>NOT(ISERROR(SEARCH($H$10,D439)))</formula>
      <formula>$H$10</formula>
    </cfRule>
    <cfRule type="containsText" dxfId="2002" priority="3051" operator="containsText" text="$H$11">
      <formula>NOT(ISERROR(SEARCH($H$11,D439)))</formula>
      <formula>$H$11</formula>
    </cfRule>
    <cfRule type="containsText" dxfId="2001" priority="3050" operator="containsText" text="$H$12">
      <formula>NOT(ISERROR(SEARCH($H$12,D439)))</formula>
      <formula>$H$12</formula>
    </cfRule>
    <cfRule type="containsText" dxfId="2000" priority="3049" operator="containsText" text="$H$13">
      <formula>NOT(ISERROR(SEARCH($H$13,D439)))</formula>
      <formula>$H$13</formula>
    </cfRule>
  </conditionalFormatting>
  <conditionalFormatting sqref="D441">
    <cfRule type="containsText" dxfId="1999" priority="3048" operator="containsText" text="$H$7">
      <formula>NOT(ISERROR(SEARCH($H$7,D441)))</formula>
      <formula>$H$7</formula>
    </cfRule>
    <cfRule type="containsText" dxfId="1998" priority="3047" operator="containsText" text="$H$8">
      <formula>NOT(ISERROR(SEARCH($H$8,D441)))</formula>
      <formula>$H$8</formula>
    </cfRule>
    <cfRule type="containsText" dxfId="1997" priority="3046" operator="containsText" text="$H$8">
      <formula>NOT(ISERROR(SEARCH($H$8,D441)))</formula>
      <formula>$H$8</formula>
    </cfRule>
    <cfRule type="containsText" dxfId="1996" priority="3045" operator="containsText" text="$H$9">
      <formula>NOT(ISERROR(SEARCH($H$9,D441)))</formula>
      <formula>$H$9</formula>
    </cfRule>
    <cfRule type="containsText" dxfId="1995" priority="3044" operator="containsText" text="$H$10">
      <formula>NOT(ISERROR(SEARCH($H$10,D441)))</formula>
      <formula>$H$10</formula>
    </cfRule>
    <cfRule type="containsText" dxfId="1994" priority="3043" operator="containsText" text="$H$11">
      <formula>NOT(ISERROR(SEARCH($H$11,D441)))</formula>
      <formula>$H$11</formula>
    </cfRule>
    <cfRule type="containsText" dxfId="1993" priority="3042" operator="containsText" text="$H$12">
      <formula>NOT(ISERROR(SEARCH($H$12,D441)))</formula>
      <formula>$H$12</formula>
    </cfRule>
    <cfRule type="containsText" dxfId="1992" priority="3041" operator="containsText" text="$H$13">
      <formula>NOT(ISERROR(SEARCH($H$13,D441)))</formula>
      <formula>$H$13</formula>
    </cfRule>
  </conditionalFormatting>
  <conditionalFormatting sqref="D443">
    <cfRule type="containsText" dxfId="1991" priority="3040" operator="containsText" text="$H$7">
      <formula>NOT(ISERROR(SEARCH($H$7,D443)))</formula>
      <formula>$H$7</formula>
    </cfRule>
    <cfRule type="containsText" dxfId="1990" priority="3039" operator="containsText" text="$H$8">
      <formula>NOT(ISERROR(SEARCH($H$8,D443)))</formula>
      <formula>$H$8</formula>
    </cfRule>
    <cfRule type="containsText" dxfId="1989" priority="3038" operator="containsText" text="$H$8">
      <formula>NOT(ISERROR(SEARCH($H$8,D443)))</formula>
      <formula>$H$8</formula>
    </cfRule>
    <cfRule type="containsText" dxfId="1988" priority="3037" operator="containsText" text="$H$9">
      <formula>NOT(ISERROR(SEARCH($H$9,D443)))</formula>
      <formula>$H$9</formula>
    </cfRule>
    <cfRule type="containsText" dxfId="1987" priority="3036" operator="containsText" text="$H$10">
      <formula>NOT(ISERROR(SEARCH($H$10,D443)))</formula>
      <formula>$H$10</formula>
    </cfRule>
    <cfRule type="containsText" dxfId="1986" priority="3035" operator="containsText" text="$H$11">
      <formula>NOT(ISERROR(SEARCH($H$11,D443)))</formula>
      <formula>$H$11</formula>
    </cfRule>
    <cfRule type="containsText" dxfId="1985" priority="3034" operator="containsText" text="$H$12">
      <formula>NOT(ISERROR(SEARCH($H$12,D443)))</formula>
      <formula>$H$12</formula>
    </cfRule>
    <cfRule type="containsText" dxfId="1984" priority="3033" operator="containsText" text="$H$13">
      <formula>NOT(ISERROR(SEARCH($H$13,D443)))</formula>
      <formula>$H$13</formula>
    </cfRule>
  </conditionalFormatting>
  <conditionalFormatting sqref="D445">
    <cfRule type="containsText" dxfId="1983" priority="3032" operator="containsText" text="$H$7">
      <formula>NOT(ISERROR(SEARCH($H$7,D445)))</formula>
      <formula>$H$7</formula>
    </cfRule>
    <cfRule type="containsText" dxfId="1982" priority="3031" operator="containsText" text="$H$8">
      <formula>NOT(ISERROR(SEARCH($H$8,D445)))</formula>
      <formula>$H$8</formula>
    </cfRule>
    <cfRule type="containsText" dxfId="1981" priority="3030" operator="containsText" text="$H$8">
      <formula>NOT(ISERROR(SEARCH($H$8,D445)))</formula>
      <formula>$H$8</formula>
    </cfRule>
    <cfRule type="containsText" dxfId="1980" priority="3029" operator="containsText" text="$H$9">
      <formula>NOT(ISERROR(SEARCH($H$9,D445)))</formula>
      <formula>$H$9</formula>
    </cfRule>
    <cfRule type="containsText" dxfId="1979" priority="3028" operator="containsText" text="$H$10">
      <formula>NOT(ISERROR(SEARCH($H$10,D445)))</formula>
      <formula>$H$10</formula>
    </cfRule>
    <cfRule type="containsText" dxfId="1978" priority="3027" operator="containsText" text="$H$11">
      <formula>NOT(ISERROR(SEARCH($H$11,D445)))</formula>
      <formula>$H$11</formula>
    </cfRule>
    <cfRule type="containsText" dxfId="1977" priority="3026" operator="containsText" text="$H$12">
      <formula>NOT(ISERROR(SEARCH($H$12,D445)))</formula>
      <formula>$H$12</formula>
    </cfRule>
    <cfRule type="containsText" dxfId="1976" priority="3025" operator="containsText" text="$H$13">
      <formula>NOT(ISERROR(SEARCH($H$13,D445)))</formula>
      <formula>$H$13</formula>
    </cfRule>
  </conditionalFormatting>
  <conditionalFormatting sqref="F403">
    <cfRule type="containsText" dxfId="1975" priority="3024" operator="containsText" text="$H$7">
      <formula>NOT(ISERROR(SEARCH($H$7,F403)))</formula>
      <formula>$H$7</formula>
    </cfRule>
    <cfRule type="containsText" dxfId="1974" priority="3023" operator="containsText" text="$H$8">
      <formula>NOT(ISERROR(SEARCH($H$8,F403)))</formula>
      <formula>$H$8</formula>
    </cfRule>
    <cfRule type="containsText" dxfId="1973" priority="3022" operator="containsText" text="$H$8">
      <formula>NOT(ISERROR(SEARCH($H$8,F403)))</formula>
      <formula>$H$8</formula>
    </cfRule>
    <cfRule type="containsText" dxfId="1972" priority="3021" operator="containsText" text="$H$9">
      <formula>NOT(ISERROR(SEARCH($H$9,F403)))</formula>
      <formula>$H$9</formula>
    </cfRule>
    <cfRule type="containsText" dxfId="1971" priority="3020" operator="containsText" text="$H$10">
      <formula>NOT(ISERROR(SEARCH($H$10,F403)))</formula>
      <formula>$H$10</formula>
    </cfRule>
    <cfRule type="containsText" dxfId="1970" priority="3019" operator="containsText" text="$H$11">
      <formula>NOT(ISERROR(SEARCH($H$11,F403)))</formula>
      <formula>$H$11</formula>
    </cfRule>
    <cfRule type="containsText" dxfId="1969" priority="3018" operator="containsText" text="$H$12">
      <formula>NOT(ISERROR(SEARCH($H$12,F403)))</formula>
      <formula>$H$12</formula>
    </cfRule>
    <cfRule type="containsText" dxfId="1968" priority="3017" operator="containsText" text="$H$13">
      <formula>NOT(ISERROR(SEARCH($H$13,F403)))</formula>
      <formula>$H$13</formula>
    </cfRule>
  </conditionalFormatting>
  <conditionalFormatting sqref="F405">
    <cfRule type="containsText" dxfId="1967" priority="3016" operator="containsText" text="$H$7">
      <formula>NOT(ISERROR(SEARCH($H$7,F405)))</formula>
      <formula>$H$7</formula>
    </cfRule>
    <cfRule type="containsText" dxfId="1966" priority="3015" operator="containsText" text="$H$8">
      <formula>NOT(ISERROR(SEARCH($H$8,F405)))</formula>
      <formula>$H$8</formula>
    </cfRule>
    <cfRule type="containsText" dxfId="1965" priority="3014" operator="containsText" text="$H$8">
      <formula>NOT(ISERROR(SEARCH($H$8,F405)))</formula>
      <formula>$H$8</formula>
    </cfRule>
    <cfRule type="containsText" dxfId="1964" priority="3013" operator="containsText" text="$H$9">
      <formula>NOT(ISERROR(SEARCH($H$9,F405)))</formula>
      <formula>$H$9</formula>
    </cfRule>
    <cfRule type="containsText" dxfId="1963" priority="3012" operator="containsText" text="$H$10">
      <formula>NOT(ISERROR(SEARCH($H$10,F405)))</formula>
      <formula>$H$10</formula>
    </cfRule>
    <cfRule type="containsText" dxfId="1962" priority="3011" operator="containsText" text="$H$11">
      <formula>NOT(ISERROR(SEARCH($H$11,F405)))</formula>
      <formula>$H$11</formula>
    </cfRule>
    <cfRule type="containsText" dxfId="1961" priority="3010" operator="containsText" text="$H$12">
      <formula>NOT(ISERROR(SEARCH($H$12,F405)))</formula>
      <formula>$H$12</formula>
    </cfRule>
    <cfRule type="containsText" dxfId="1960" priority="3009" operator="containsText" text="$H$13">
      <formula>NOT(ISERROR(SEARCH($H$13,F405)))</formula>
      <formula>$H$13</formula>
    </cfRule>
  </conditionalFormatting>
  <conditionalFormatting sqref="F407">
    <cfRule type="containsText" dxfId="1959" priority="3008" operator="containsText" text="$H$7">
      <formula>NOT(ISERROR(SEARCH($H$7,F407)))</formula>
      <formula>$H$7</formula>
    </cfRule>
    <cfRule type="containsText" dxfId="1958" priority="3007" operator="containsText" text="$H$8">
      <formula>NOT(ISERROR(SEARCH($H$8,F407)))</formula>
      <formula>$H$8</formula>
    </cfRule>
    <cfRule type="containsText" dxfId="1957" priority="3006" operator="containsText" text="$H$8">
      <formula>NOT(ISERROR(SEARCH($H$8,F407)))</formula>
      <formula>$H$8</formula>
    </cfRule>
    <cfRule type="containsText" dxfId="1956" priority="3005" operator="containsText" text="$H$9">
      <formula>NOT(ISERROR(SEARCH($H$9,F407)))</formula>
      <formula>$H$9</formula>
    </cfRule>
    <cfRule type="containsText" dxfId="1955" priority="3004" operator="containsText" text="$H$10">
      <formula>NOT(ISERROR(SEARCH($H$10,F407)))</formula>
      <formula>$H$10</formula>
    </cfRule>
    <cfRule type="containsText" dxfId="1954" priority="3003" operator="containsText" text="$H$11">
      <formula>NOT(ISERROR(SEARCH($H$11,F407)))</formula>
      <formula>$H$11</formula>
    </cfRule>
    <cfRule type="containsText" dxfId="1953" priority="3002" operator="containsText" text="$H$12">
      <formula>NOT(ISERROR(SEARCH($H$12,F407)))</formula>
      <formula>$H$12</formula>
    </cfRule>
    <cfRule type="containsText" dxfId="1952" priority="3001" operator="containsText" text="$H$13">
      <formula>NOT(ISERROR(SEARCH($H$13,F407)))</formula>
      <formula>$H$13</formula>
    </cfRule>
  </conditionalFormatting>
  <conditionalFormatting sqref="F409">
    <cfRule type="containsText" dxfId="1951" priority="3000" operator="containsText" text="$H$7">
      <formula>NOT(ISERROR(SEARCH($H$7,F409)))</formula>
      <formula>$H$7</formula>
    </cfRule>
    <cfRule type="containsText" dxfId="1950" priority="2999" operator="containsText" text="$H$8">
      <formula>NOT(ISERROR(SEARCH($H$8,F409)))</formula>
      <formula>$H$8</formula>
    </cfRule>
    <cfRule type="containsText" dxfId="1949" priority="2998" operator="containsText" text="$H$8">
      <formula>NOT(ISERROR(SEARCH($H$8,F409)))</formula>
      <formula>$H$8</formula>
    </cfRule>
    <cfRule type="containsText" dxfId="1948" priority="2997" operator="containsText" text="$H$9">
      <formula>NOT(ISERROR(SEARCH($H$9,F409)))</formula>
      <formula>$H$9</formula>
    </cfRule>
    <cfRule type="containsText" dxfId="1947" priority="2996" operator="containsText" text="$H$10">
      <formula>NOT(ISERROR(SEARCH($H$10,F409)))</formula>
      <formula>$H$10</formula>
    </cfRule>
    <cfRule type="containsText" dxfId="1946" priority="2995" operator="containsText" text="$H$11">
      <formula>NOT(ISERROR(SEARCH($H$11,F409)))</formula>
      <formula>$H$11</formula>
    </cfRule>
    <cfRule type="containsText" dxfId="1945" priority="2994" operator="containsText" text="$H$12">
      <formula>NOT(ISERROR(SEARCH($H$12,F409)))</formula>
      <formula>$H$12</formula>
    </cfRule>
    <cfRule type="containsText" dxfId="1944" priority="2993" operator="containsText" text="$H$13">
      <formula>NOT(ISERROR(SEARCH($H$13,F409)))</formula>
      <formula>$H$13</formula>
    </cfRule>
  </conditionalFormatting>
  <conditionalFormatting sqref="F431">
    <cfRule type="containsText" dxfId="1943" priority="2984" operator="containsText" text="$H$7">
      <formula>NOT(ISERROR(SEARCH($H$7,F431)))</formula>
      <formula>$H$7</formula>
    </cfRule>
    <cfRule type="containsText" dxfId="1942" priority="2983" operator="containsText" text="$H$8">
      <formula>NOT(ISERROR(SEARCH($H$8,F431)))</formula>
      <formula>$H$8</formula>
    </cfRule>
    <cfRule type="containsText" dxfId="1941" priority="2982" operator="containsText" text="$H$8">
      <formula>NOT(ISERROR(SEARCH($H$8,F431)))</formula>
      <formula>$H$8</formula>
    </cfRule>
    <cfRule type="containsText" dxfId="1940" priority="2981" operator="containsText" text="$H$9">
      <formula>NOT(ISERROR(SEARCH($H$9,F431)))</formula>
      <formula>$H$9</formula>
    </cfRule>
    <cfRule type="containsText" dxfId="1939" priority="2980" operator="containsText" text="$H$10">
      <formula>NOT(ISERROR(SEARCH($H$10,F431)))</formula>
      <formula>$H$10</formula>
    </cfRule>
    <cfRule type="containsText" dxfId="1938" priority="2979" operator="containsText" text="$H$11">
      <formula>NOT(ISERROR(SEARCH($H$11,F431)))</formula>
      <formula>$H$11</formula>
    </cfRule>
    <cfRule type="containsText" dxfId="1937" priority="2978" operator="containsText" text="$H$12">
      <formula>NOT(ISERROR(SEARCH($H$12,F431)))</formula>
      <formula>$H$12</formula>
    </cfRule>
    <cfRule type="containsText" dxfId="1936" priority="2977" operator="containsText" text="$H$13">
      <formula>NOT(ISERROR(SEARCH($H$13,F431)))</formula>
      <formula>$H$13</formula>
    </cfRule>
  </conditionalFormatting>
  <conditionalFormatting sqref="F433">
    <cfRule type="containsText" dxfId="1935" priority="2976" operator="containsText" text="$H$7">
      <formula>NOT(ISERROR(SEARCH($H$7,F433)))</formula>
      <formula>$H$7</formula>
    </cfRule>
    <cfRule type="containsText" dxfId="1934" priority="2975" operator="containsText" text="$H$8">
      <formula>NOT(ISERROR(SEARCH($H$8,F433)))</formula>
      <formula>$H$8</formula>
    </cfRule>
    <cfRule type="containsText" dxfId="1933" priority="2974" operator="containsText" text="$H$8">
      <formula>NOT(ISERROR(SEARCH($H$8,F433)))</formula>
      <formula>$H$8</formula>
    </cfRule>
    <cfRule type="containsText" dxfId="1932" priority="2973" operator="containsText" text="$H$9">
      <formula>NOT(ISERROR(SEARCH($H$9,F433)))</formula>
      <formula>$H$9</formula>
    </cfRule>
    <cfRule type="containsText" dxfId="1931" priority="2972" operator="containsText" text="$H$10">
      <formula>NOT(ISERROR(SEARCH($H$10,F433)))</formula>
      <formula>$H$10</formula>
    </cfRule>
    <cfRule type="containsText" dxfId="1930" priority="2971" operator="containsText" text="$H$11">
      <formula>NOT(ISERROR(SEARCH($H$11,F433)))</formula>
      <formula>$H$11</formula>
    </cfRule>
    <cfRule type="containsText" dxfId="1929" priority="2970" operator="containsText" text="$H$12">
      <formula>NOT(ISERROR(SEARCH($H$12,F433)))</formula>
      <formula>$H$12</formula>
    </cfRule>
    <cfRule type="containsText" dxfId="1928" priority="2969" operator="containsText" text="$H$13">
      <formula>NOT(ISERROR(SEARCH($H$13,F433)))</formula>
      <formula>$H$13</formula>
    </cfRule>
  </conditionalFormatting>
  <conditionalFormatting sqref="F427">
    <cfRule type="containsText" dxfId="1927" priority="2968" operator="containsText" text="$H$7">
      <formula>NOT(ISERROR(SEARCH($H$7,F427)))</formula>
      <formula>$H$7</formula>
    </cfRule>
    <cfRule type="containsText" dxfId="1926" priority="2967" operator="containsText" text="$H$8">
      <formula>NOT(ISERROR(SEARCH($H$8,F427)))</formula>
      <formula>$H$8</formula>
    </cfRule>
    <cfRule type="containsText" dxfId="1925" priority="2966" operator="containsText" text="$H$8">
      <formula>NOT(ISERROR(SEARCH($H$8,F427)))</formula>
      <formula>$H$8</formula>
    </cfRule>
    <cfRule type="containsText" dxfId="1924" priority="2965" operator="containsText" text="$H$9">
      <formula>NOT(ISERROR(SEARCH($H$9,F427)))</formula>
      <formula>$H$9</formula>
    </cfRule>
    <cfRule type="containsText" dxfId="1923" priority="2964" operator="containsText" text="$H$10">
      <formula>NOT(ISERROR(SEARCH($H$10,F427)))</formula>
      <formula>$H$10</formula>
    </cfRule>
    <cfRule type="containsText" dxfId="1922" priority="2963" operator="containsText" text="$H$11">
      <formula>NOT(ISERROR(SEARCH($H$11,F427)))</formula>
      <formula>$H$11</formula>
    </cfRule>
    <cfRule type="containsText" dxfId="1921" priority="2962" operator="containsText" text="$H$12">
      <formula>NOT(ISERROR(SEARCH($H$12,F427)))</formula>
      <formula>$H$12</formula>
    </cfRule>
    <cfRule type="containsText" dxfId="1920" priority="2961" operator="containsText" text="$H$13">
      <formula>NOT(ISERROR(SEARCH($H$13,F427)))</formula>
      <formula>$H$13</formula>
    </cfRule>
  </conditionalFormatting>
  <conditionalFormatting sqref="F435">
    <cfRule type="containsText" dxfId="1919" priority="2960" operator="containsText" text="$H$7">
      <formula>NOT(ISERROR(SEARCH($H$7,F435)))</formula>
      <formula>$H$7</formula>
    </cfRule>
    <cfRule type="containsText" dxfId="1918" priority="2959" operator="containsText" text="$H$8">
      <formula>NOT(ISERROR(SEARCH($H$8,F435)))</formula>
      <formula>$H$8</formula>
    </cfRule>
    <cfRule type="containsText" dxfId="1917" priority="2958" operator="containsText" text="$H$8">
      <formula>NOT(ISERROR(SEARCH($H$8,F435)))</formula>
      <formula>$H$8</formula>
    </cfRule>
    <cfRule type="containsText" dxfId="1916" priority="2957" operator="containsText" text="$H$9">
      <formula>NOT(ISERROR(SEARCH($H$9,F435)))</formula>
      <formula>$H$9</formula>
    </cfRule>
    <cfRule type="containsText" dxfId="1915" priority="2956" operator="containsText" text="$H$10">
      <formula>NOT(ISERROR(SEARCH($H$10,F435)))</formula>
      <formula>$H$10</formula>
    </cfRule>
    <cfRule type="containsText" dxfId="1914" priority="2955" operator="containsText" text="$H$11">
      <formula>NOT(ISERROR(SEARCH($H$11,F435)))</formula>
      <formula>$H$11</formula>
    </cfRule>
    <cfRule type="containsText" dxfId="1913" priority="2954" operator="containsText" text="$H$12">
      <formula>NOT(ISERROR(SEARCH($H$12,F435)))</formula>
      <formula>$H$12</formula>
    </cfRule>
    <cfRule type="containsText" dxfId="1912" priority="2953" operator="containsText" text="$H$13">
      <formula>NOT(ISERROR(SEARCH($H$13,F435)))</formula>
      <formula>$H$13</formula>
    </cfRule>
  </conditionalFormatting>
  <conditionalFormatting sqref="F393">
    <cfRule type="containsText" dxfId="1911" priority="2952" operator="containsText" text="$H$7">
      <formula>NOT(ISERROR(SEARCH($H$7,F393)))</formula>
      <formula>$H$7</formula>
    </cfRule>
    <cfRule type="containsText" dxfId="1910" priority="2951" operator="containsText" text="$H$8">
      <formula>NOT(ISERROR(SEARCH($H$8,F393)))</formula>
      <formula>$H$8</formula>
    </cfRule>
    <cfRule type="containsText" dxfId="1909" priority="2950" operator="containsText" text="$H$8">
      <formula>NOT(ISERROR(SEARCH($H$8,F393)))</formula>
      <formula>$H$8</formula>
    </cfRule>
    <cfRule type="containsText" dxfId="1908" priority="2949" operator="containsText" text="$H$9">
      <formula>NOT(ISERROR(SEARCH($H$9,F393)))</formula>
      <formula>$H$9</formula>
    </cfRule>
    <cfRule type="containsText" dxfId="1907" priority="2948" operator="containsText" text="$H$10">
      <formula>NOT(ISERROR(SEARCH($H$10,F393)))</formula>
      <formula>$H$10</formula>
    </cfRule>
    <cfRule type="containsText" dxfId="1906" priority="2947" operator="containsText" text="$H$11">
      <formula>NOT(ISERROR(SEARCH($H$11,F393)))</formula>
      <formula>$H$11</formula>
    </cfRule>
    <cfRule type="containsText" dxfId="1905" priority="2946" operator="containsText" text="$H$12">
      <formula>NOT(ISERROR(SEARCH($H$12,F393)))</formula>
      <formula>$H$12</formula>
    </cfRule>
    <cfRule type="containsText" dxfId="1904" priority="2945" operator="containsText" text="$H$13">
      <formula>NOT(ISERROR(SEARCH($H$13,F393)))</formula>
      <formula>$H$13</formula>
    </cfRule>
  </conditionalFormatting>
  <conditionalFormatting sqref="F395">
    <cfRule type="containsText" dxfId="1903" priority="2944" operator="containsText" text="$H$7">
      <formula>NOT(ISERROR(SEARCH($H$7,F395)))</formula>
      <formula>$H$7</formula>
    </cfRule>
    <cfRule type="containsText" dxfId="1902" priority="2943" operator="containsText" text="$H$8">
      <formula>NOT(ISERROR(SEARCH($H$8,F395)))</formula>
      <formula>$H$8</formula>
    </cfRule>
    <cfRule type="containsText" dxfId="1901" priority="2942" operator="containsText" text="$H$8">
      <formula>NOT(ISERROR(SEARCH($H$8,F395)))</formula>
      <formula>$H$8</formula>
    </cfRule>
    <cfRule type="containsText" dxfId="1900" priority="2941" operator="containsText" text="$H$9">
      <formula>NOT(ISERROR(SEARCH($H$9,F395)))</formula>
      <formula>$H$9</formula>
    </cfRule>
    <cfRule type="containsText" dxfId="1899" priority="2940" operator="containsText" text="$H$10">
      <formula>NOT(ISERROR(SEARCH($H$10,F395)))</formula>
      <formula>$H$10</formula>
    </cfRule>
    <cfRule type="containsText" dxfId="1898" priority="2939" operator="containsText" text="$H$11">
      <formula>NOT(ISERROR(SEARCH($H$11,F395)))</formula>
      <formula>$H$11</formula>
    </cfRule>
    <cfRule type="containsText" dxfId="1897" priority="2938" operator="containsText" text="$H$12">
      <formula>NOT(ISERROR(SEARCH($H$12,F395)))</formula>
      <formula>$H$12</formula>
    </cfRule>
    <cfRule type="containsText" dxfId="1896" priority="2937" operator="containsText" text="$H$13">
      <formula>NOT(ISERROR(SEARCH($H$13,F395)))</formula>
      <formula>$H$13</formula>
    </cfRule>
  </conditionalFormatting>
  <conditionalFormatting sqref="F397">
    <cfRule type="containsText" dxfId="1895" priority="2936" operator="containsText" text="$H$7">
      <formula>NOT(ISERROR(SEARCH($H$7,F397)))</formula>
      <formula>$H$7</formula>
    </cfRule>
    <cfRule type="containsText" dxfId="1894" priority="2935" operator="containsText" text="$H$8">
      <formula>NOT(ISERROR(SEARCH($H$8,F397)))</formula>
      <formula>$H$8</formula>
    </cfRule>
    <cfRule type="containsText" dxfId="1893" priority="2934" operator="containsText" text="$H$8">
      <formula>NOT(ISERROR(SEARCH($H$8,F397)))</formula>
      <formula>$H$8</formula>
    </cfRule>
    <cfRule type="containsText" dxfId="1892" priority="2933" operator="containsText" text="$H$9">
      <formula>NOT(ISERROR(SEARCH($H$9,F397)))</formula>
      <formula>$H$9</formula>
    </cfRule>
    <cfRule type="containsText" dxfId="1891" priority="2932" operator="containsText" text="$H$10">
      <formula>NOT(ISERROR(SEARCH($H$10,F397)))</formula>
      <formula>$H$10</formula>
    </cfRule>
    <cfRule type="containsText" dxfId="1890" priority="2931" operator="containsText" text="$H$11">
      <formula>NOT(ISERROR(SEARCH($H$11,F397)))</formula>
      <formula>$H$11</formula>
    </cfRule>
    <cfRule type="containsText" dxfId="1889" priority="2930" operator="containsText" text="$H$12">
      <formula>NOT(ISERROR(SEARCH($H$12,F397)))</formula>
      <formula>$H$12</formula>
    </cfRule>
    <cfRule type="containsText" dxfId="1888" priority="2929" operator="containsText" text="$H$13">
      <formula>NOT(ISERROR(SEARCH($H$13,F397)))</formula>
      <formula>$H$13</formula>
    </cfRule>
  </conditionalFormatting>
  <conditionalFormatting sqref="F399">
    <cfRule type="containsText" dxfId="1887" priority="2928" operator="containsText" text="$H$7">
      <formula>NOT(ISERROR(SEARCH($H$7,F399)))</formula>
      <formula>$H$7</formula>
    </cfRule>
    <cfRule type="containsText" dxfId="1886" priority="2927" operator="containsText" text="$H$8">
      <formula>NOT(ISERROR(SEARCH($H$8,F399)))</formula>
      <formula>$H$8</formula>
    </cfRule>
    <cfRule type="containsText" dxfId="1885" priority="2926" operator="containsText" text="$H$8">
      <formula>NOT(ISERROR(SEARCH($H$8,F399)))</formula>
      <formula>$H$8</formula>
    </cfRule>
    <cfRule type="containsText" dxfId="1884" priority="2925" operator="containsText" text="$H$9">
      <formula>NOT(ISERROR(SEARCH($H$9,F399)))</formula>
      <formula>$H$9</formula>
    </cfRule>
    <cfRule type="containsText" dxfId="1883" priority="2924" operator="containsText" text="$H$10">
      <formula>NOT(ISERROR(SEARCH($H$10,F399)))</formula>
      <formula>$H$10</formula>
    </cfRule>
    <cfRule type="containsText" dxfId="1882" priority="2923" operator="containsText" text="$H$11">
      <formula>NOT(ISERROR(SEARCH($H$11,F399)))</formula>
      <formula>$H$11</formula>
    </cfRule>
    <cfRule type="containsText" dxfId="1881" priority="2922" operator="containsText" text="$H$12">
      <formula>NOT(ISERROR(SEARCH($H$12,F399)))</formula>
      <formula>$H$12</formula>
    </cfRule>
    <cfRule type="containsText" dxfId="1880" priority="2921" operator="containsText" text="$H$13">
      <formula>NOT(ISERROR(SEARCH($H$13,F399)))</formula>
      <formula>$H$13</formula>
    </cfRule>
  </conditionalFormatting>
  <conditionalFormatting sqref="C449">
    <cfRule type="containsText" dxfId="1879" priority="2920" operator="containsText" text="$H$7">
      <formula>NOT(ISERROR(SEARCH($H$7,C449)))</formula>
      <formula>$H$7</formula>
    </cfRule>
    <cfRule type="containsText" dxfId="1878" priority="2919" operator="containsText" text="$H$8">
      <formula>NOT(ISERROR(SEARCH($H$8,C449)))</formula>
      <formula>$H$8</formula>
    </cfRule>
    <cfRule type="containsText" dxfId="1877" priority="2918" operator="containsText" text="$H$8">
      <formula>NOT(ISERROR(SEARCH($H$8,C449)))</formula>
      <formula>$H$8</formula>
    </cfRule>
    <cfRule type="containsText" dxfId="1876" priority="2917" operator="containsText" text="$H$9">
      <formula>NOT(ISERROR(SEARCH($H$9,C449)))</formula>
      <formula>$H$9</formula>
    </cfRule>
    <cfRule type="containsText" dxfId="1875" priority="2916" operator="containsText" text="$H$10">
      <formula>NOT(ISERROR(SEARCH($H$10,C449)))</formula>
      <formula>$H$10</formula>
    </cfRule>
    <cfRule type="containsText" dxfId="1874" priority="2915" operator="containsText" text="$H$11">
      <formula>NOT(ISERROR(SEARCH($H$11,C449)))</formula>
      <formula>$H$11</formula>
    </cfRule>
    <cfRule type="containsText" dxfId="1873" priority="2914" operator="containsText" text="$H$12">
      <formula>NOT(ISERROR(SEARCH($H$12,C449)))</formula>
      <formula>$H$12</formula>
    </cfRule>
    <cfRule type="containsText" dxfId="1872" priority="2913" operator="containsText" text="$H$13">
      <formula>NOT(ISERROR(SEARCH($H$13,C449)))</formula>
      <formula>$H$13</formula>
    </cfRule>
  </conditionalFormatting>
  <conditionalFormatting sqref="C451">
    <cfRule type="containsText" dxfId="1871" priority="2912" operator="containsText" text="$H$7">
      <formula>NOT(ISERROR(SEARCH($H$7,C451)))</formula>
      <formula>$H$7</formula>
    </cfRule>
    <cfRule type="containsText" dxfId="1870" priority="2911" operator="containsText" text="$H$8">
      <formula>NOT(ISERROR(SEARCH($H$8,C451)))</formula>
      <formula>$H$8</formula>
    </cfRule>
    <cfRule type="containsText" dxfId="1869" priority="2910" operator="containsText" text="$H$8">
      <formula>NOT(ISERROR(SEARCH($H$8,C451)))</formula>
      <formula>$H$8</formula>
    </cfRule>
    <cfRule type="containsText" dxfId="1868" priority="2909" operator="containsText" text="$H$9">
      <formula>NOT(ISERROR(SEARCH($H$9,C451)))</formula>
      <formula>$H$9</formula>
    </cfRule>
    <cfRule type="containsText" dxfId="1867" priority="2908" operator="containsText" text="$H$10">
      <formula>NOT(ISERROR(SEARCH($H$10,C451)))</formula>
      <formula>$H$10</formula>
    </cfRule>
    <cfRule type="containsText" dxfId="1866" priority="2907" operator="containsText" text="$H$11">
      <formula>NOT(ISERROR(SEARCH($H$11,C451)))</formula>
      <formula>$H$11</formula>
    </cfRule>
    <cfRule type="containsText" dxfId="1865" priority="2906" operator="containsText" text="$H$12">
      <formula>NOT(ISERROR(SEARCH($H$12,C451)))</formula>
      <formula>$H$12</formula>
    </cfRule>
    <cfRule type="containsText" dxfId="1864" priority="2905" operator="containsText" text="$H$13">
      <formula>NOT(ISERROR(SEARCH($H$13,C451)))</formula>
      <formula>$H$13</formula>
    </cfRule>
  </conditionalFormatting>
  <conditionalFormatting sqref="C453">
    <cfRule type="containsText" dxfId="1863" priority="2904" operator="containsText" text="$H$7">
      <formula>NOT(ISERROR(SEARCH($H$7,C453)))</formula>
      <formula>$H$7</formula>
    </cfRule>
    <cfRule type="containsText" dxfId="1862" priority="2903" operator="containsText" text="$H$8">
      <formula>NOT(ISERROR(SEARCH($H$8,C453)))</formula>
      <formula>$H$8</formula>
    </cfRule>
    <cfRule type="containsText" dxfId="1861" priority="2902" operator="containsText" text="$H$8">
      <formula>NOT(ISERROR(SEARCH($H$8,C453)))</formula>
      <formula>$H$8</formula>
    </cfRule>
    <cfRule type="containsText" dxfId="1860" priority="2901" operator="containsText" text="$H$9">
      <formula>NOT(ISERROR(SEARCH($H$9,C453)))</formula>
      <formula>$H$9</formula>
    </cfRule>
    <cfRule type="containsText" dxfId="1859" priority="2900" operator="containsText" text="$H$10">
      <formula>NOT(ISERROR(SEARCH($H$10,C453)))</formula>
      <formula>$H$10</formula>
    </cfRule>
    <cfRule type="containsText" dxfId="1858" priority="2899" operator="containsText" text="$H$11">
      <formula>NOT(ISERROR(SEARCH($H$11,C453)))</formula>
      <formula>$H$11</formula>
    </cfRule>
    <cfRule type="containsText" dxfId="1857" priority="2898" operator="containsText" text="$H$12">
      <formula>NOT(ISERROR(SEARCH($H$12,C453)))</formula>
      <formula>$H$12</formula>
    </cfRule>
    <cfRule type="containsText" dxfId="1856" priority="2897" operator="containsText" text="$H$13">
      <formula>NOT(ISERROR(SEARCH($H$13,C453)))</formula>
      <formula>$H$13</formula>
    </cfRule>
  </conditionalFormatting>
  <conditionalFormatting sqref="E447">
    <cfRule type="containsText" dxfId="1855" priority="2896" operator="containsText" text="$H$7">
      <formula>NOT(ISERROR(SEARCH($H$7,E447)))</formula>
      <formula>$H$7</formula>
    </cfRule>
    <cfRule type="containsText" dxfId="1854" priority="2895" operator="containsText" text="$H$8">
      <formula>NOT(ISERROR(SEARCH($H$8,E447)))</formula>
      <formula>$H$8</formula>
    </cfRule>
    <cfRule type="containsText" dxfId="1853" priority="2894" operator="containsText" text="$H$8">
      <formula>NOT(ISERROR(SEARCH($H$8,E447)))</formula>
      <formula>$H$8</formula>
    </cfRule>
    <cfRule type="containsText" dxfId="1852" priority="2893" operator="containsText" text="$H$9">
      <formula>NOT(ISERROR(SEARCH($H$9,E447)))</formula>
      <formula>$H$9</formula>
    </cfRule>
    <cfRule type="containsText" dxfId="1851" priority="2892" operator="containsText" text="$H$10">
      <formula>NOT(ISERROR(SEARCH($H$10,E447)))</formula>
      <formula>$H$10</formula>
    </cfRule>
    <cfRule type="containsText" dxfId="1850" priority="2891" operator="containsText" text="$H$11">
      <formula>NOT(ISERROR(SEARCH($H$11,E447)))</formula>
      <formula>$H$11</formula>
    </cfRule>
    <cfRule type="containsText" dxfId="1849" priority="2890" operator="containsText" text="$H$12">
      <formula>NOT(ISERROR(SEARCH($H$12,E447)))</formula>
      <formula>$H$12</formula>
    </cfRule>
    <cfRule type="containsText" dxfId="1848" priority="2889" operator="containsText" text="$H$13">
      <formula>NOT(ISERROR(SEARCH($H$13,E447)))</formula>
      <formula>$H$13</formula>
    </cfRule>
  </conditionalFormatting>
  <conditionalFormatting sqref="E449">
    <cfRule type="containsText" dxfId="1847" priority="2888" operator="containsText" text="$H$7">
      <formula>NOT(ISERROR(SEARCH($H$7,E449)))</formula>
      <formula>$H$7</formula>
    </cfRule>
    <cfRule type="containsText" dxfId="1846" priority="2887" operator="containsText" text="$H$8">
      <formula>NOT(ISERROR(SEARCH($H$8,E449)))</formula>
      <formula>$H$8</formula>
    </cfRule>
    <cfRule type="containsText" dxfId="1845" priority="2886" operator="containsText" text="$H$8">
      <formula>NOT(ISERROR(SEARCH($H$8,E449)))</formula>
      <formula>$H$8</formula>
    </cfRule>
    <cfRule type="containsText" dxfId="1844" priority="2885" operator="containsText" text="$H$9">
      <formula>NOT(ISERROR(SEARCH($H$9,E449)))</formula>
      <formula>$H$9</formula>
    </cfRule>
    <cfRule type="containsText" dxfId="1843" priority="2884" operator="containsText" text="$H$10">
      <formula>NOT(ISERROR(SEARCH($H$10,E449)))</formula>
      <formula>$H$10</formula>
    </cfRule>
    <cfRule type="containsText" dxfId="1842" priority="2883" operator="containsText" text="$H$11">
      <formula>NOT(ISERROR(SEARCH($H$11,E449)))</formula>
      <formula>$H$11</formula>
    </cfRule>
    <cfRule type="containsText" dxfId="1841" priority="2882" operator="containsText" text="$H$12">
      <formula>NOT(ISERROR(SEARCH($H$12,E449)))</formula>
      <formula>$H$12</formula>
    </cfRule>
    <cfRule type="containsText" dxfId="1840" priority="2881" operator="containsText" text="$H$13">
      <formula>NOT(ISERROR(SEARCH($H$13,E449)))</formula>
      <formula>$H$13</formula>
    </cfRule>
  </conditionalFormatting>
  <conditionalFormatting sqref="E451">
    <cfRule type="containsText" dxfId="1839" priority="2880" operator="containsText" text="$H$7">
      <formula>NOT(ISERROR(SEARCH($H$7,E451)))</formula>
      <formula>$H$7</formula>
    </cfRule>
    <cfRule type="containsText" dxfId="1838" priority="2879" operator="containsText" text="$H$8">
      <formula>NOT(ISERROR(SEARCH($H$8,E451)))</formula>
      <formula>$H$8</formula>
    </cfRule>
    <cfRule type="containsText" dxfId="1837" priority="2878" operator="containsText" text="$H$8">
      <formula>NOT(ISERROR(SEARCH($H$8,E451)))</formula>
      <formula>$H$8</formula>
    </cfRule>
    <cfRule type="containsText" dxfId="1836" priority="2877" operator="containsText" text="$H$9">
      <formula>NOT(ISERROR(SEARCH($H$9,E451)))</formula>
      <formula>$H$9</formula>
    </cfRule>
    <cfRule type="containsText" dxfId="1835" priority="2876" operator="containsText" text="$H$10">
      <formula>NOT(ISERROR(SEARCH($H$10,E451)))</formula>
      <formula>$H$10</formula>
    </cfRule>
    <cfRule type="containsText" dxfId="1834" priority="2875" operator="containsText" text="$H$11">
      <formula>NOT(ISERROR(SEARCH($H$11,E451)))</formula>
      <formula>$H$11</formula>
    </cfRule>
    <cfRule type="containsText" dxfId="1833" priority="2874" operator="containsText" text="$H$12">
      <formula>NOT(ISERROR(SEARCH($H$12,E451)))</formula>
      <formula>$H$12</formula>
    </cfRule>
    <cfRule type="containsText" dxfId="1832" priority="2873" operator="containsText" text="$H$13">
      <formula>NOT(ISERROR(SEARCH($H$13,E451)))</formula>
      <formula>$H$13</formula>
    </cfRule>
  </conditionalFormatting>
  <conditionalFormatting sqref="E453">
    <cfRule type="containsText" dxfId="1831" priority="2872" operator="containsText" text="$H$7">
      <formula>NOT(ISERROR(SEARCH($H$7,E453)))</formula>
      <formula>$H$7</formula>
    </cfRule>
    <cfRule type="containsText" dxfId="1830" priority="2871" operator="containsText" text="$H$8">
      <formula>NOT(ISERROR(SEARCH($H$8,E453)))</formula>
      <formula>$H$8</formula>
    </cfRule>
    <cfRule type="containsText" dxfId="1829" priority="2870" operator="containsText" text="$H$8">
      <formula>NOT(ISERROR(SEARCH($H$8,E453)))</formula>
      <formula>$H$8</formula>
    </cfRule>
    <cfRule type="containsText" dxfId="1828" priority="2869" operator="containsText" text="$H$9">
      <formula>NOT(ISERROR(SEARCH($H$9,E453)))</formula>
      <formula>$H$9</formula>
    </cfRule>
    <cfRule type="containsText" dxfId="1827" priority="2868" operator="containsText" text="$H$10">
      <formula>NOT(ISERROR(SEARCH($H$10,E453)))</formula>
      <formula>$H$10</formula>
    </cfRule>
    <cfRule type="containsText" dxfId="1826" priority="2867" operator="containsText" text="$H$11">
      <formula>NOT(ISERROR(SEARCH($H$11,E453)))</formula>
      <formula>$H$11</formula>
    </cfRule>
    <cfRule type="containsText" dxfId="1825" priority="2866" operator="containsText" text="$H$12">
      <formula>NOT(ISERROR(SEARCH($H$12,E453)))</formula>
      <formula>$H$12</formula>
    </cfRule>
    <cfRule type="containsText" dxfId="1824" priority="2865" operator="containsText" text="$H$13">
      <formula>NOT(ISERROR(SEARCH($H$13,E453)))</formula>
      <formula>$H$13</formula>
    </cfRule>
  </conditionalFormatting>
  <conditionalFormatting sqref="C429">
    <cfRule type="containsText" dxfId="1823" priority="2864" operator="containsText" text="$H$7">
      <formula>NOT(ISERROR(SEARCH($H$7,C429)))</formula>
      <formula>$H$7</formula>
    </cfRule>
    <cfRule type="containsText" dxfId="1822" priority="2863" operator="containsText" text="$H$8">
      <formula>NOT(ISERROR(SEARCH($H$8,C429)))</formula>
      <formula>$H$8</formula>
    </cfRule>
    <cfRule type="containsText" dxfId="1821" priority="2862" operator="containsText" text="$H$8">
      <formula>NOT(ISERROR(SEARCH($H$8,C429)))</formula>
      <formula>$H$8</formula>
    </cfRule>
    <cfRule type="containsText" dxfId="1820" priority="2861" operator="containsText" text="$H$9">
      <formula>NOT(ISERROR(SEARCH($H$9,C429)))</formula>
      <formula>$H$9</formula>
    </cfRule>
    <cfRule type="containsText" dxfId="1819" priority="2860" operator="containsText" text="$H$10">
      <formula>NOT(ISERROR(SEARCH($H$10,C429)))</formula>
      <formula>$H$10</formula>
    </cfRule>
    <cfRule type="containsText" dxfId="1818" priority="2859" operator="containsText" text="$H$11">
      <formula>NOT(ISERROR(SEARCH($H$11,C429)))</formula>
      <formula>$H$11</formula>
    </cfRule>
    <cfRule type="containsText" dxfId="1817" priority="2858" operator="containsText" text="$H$12">
      <formula>NOT(ISERROR(SEARCH($H$12,C429)))</formula>
      <formula>$H$12</formula>
    </cfRule>
    <cfRule type="containsText" dxfId="1816" priority="2857" operator="containsText" text="$H$13">
      <formula>NOT(ISERROR(SEARCH($H$13,C429)))</formula>
      <formula>$H$13</formula>
    </cfRule>
  </conditionalFormatting>
  <conditionalFormatting sqref="C431">
    <cfRule type="containsText" dxfId="1815" priority="2856" operator="containsText" text="$H$7">
      <formula>NOT(ISERROR(SEARCH($H$7,C431)))</formula>
      <formula>$H$7</formula>
    </cfRule>
    <cfRule type="containsText" dxfId="1814" priority="2855" operator="containsText" text="$H$8">
      <formula>NOT(ISERROR(SEARCH($H$8,C431)))</formula>
      <formula>$H$8</formula>
    </cfRule>
    <cfRule type="containsText" dxfId="1813" priority="2854" operator="containsText" text="$H$8">
      <formula>NOT(ISERROR(SEARCH($H$8,C431)))</formula>
      <formula>$H$8</formula>
    </cfRule>
    <cfRule type="containsText" dxfId="1812" priority="2853" operator="containsText" text="$H$9">
      <formula>NOT(ISERROR(SEARCH($H$9,C431)))</formula>
      <formula>$H$9</formula>
    </cfRule>
    <cfRule type="containsText" dxfId="1811" priority="2852" operator="containsText" text="$H$10">
      <formula>NOT(ISERROR(SEARCH($H$10,C431)))</formula>
      <formula>$H$10</formula>
    </cfRule>
    <cfRule type="containsText" dxfId="1810" priority="2851" operator="containsText" text="$H$11">
      <formula>NOT(ISERROR(SEARCH($H$11,C431)))</formula>
      <formula>$H$11</formula>
    </cfRule>
    <cfRule type="containsText" dxfId="1809" priority="2850" operator="containsText" text="$H$12">
      <formula>NOT(ISERROR(SEARCH($H$12,C431)))</formula>
      <formula>$H$12</formula>
    </cfRule>
    <cfRule type="containsText" dxfId="1808" priority="2849" operator="containsText" text="$H$13">
      <formula>NOT(ISERROR(SEARCH($H$13,C431)))</formula>
      <formula>$H$13</formula>
    </cfRule>
  </conditionalFormatting>
  <conditionalFormatting sqref="C433">
    <cfRule type="containsText" dxfId="1807" priority="2848" operator="containsText" text="$H$7">
      <formula>NOT(ISERROR(SEARCH($H$7,C433)))</formula>
      <formula>$H$7</formula>
    </cfRule>
    <cfRule type="containsText" dxfId="1806" priority="2847" operator="containsText" text="$H$8">
      <formula>NOT(ISERROR(SEARCH($H$8,C433)))</formula>
      <formula>$H$8</formula>
    </cfRule>
    <cfRule type="containsText" dxfId="1805" priority="2846" operator="containsText" text="$H$8">
      <formula>NOT(ISERROR(SEARCH($H$8,C433)))</formula>
      <formula>$H$8</formula>
    </cfRule>
    <cfRule type="containsText" dxfId="1804" priority="2845" operator="containsText" text="$H$9">
      <formula>NOT(ISERROR(SEARCH($H$9,C433)))</formula>
      <formula>$H$9</formula>
    </cfRule>
    <cfRule type="containsText" dxfId="1803" priority="2844" operator="containsText" text="$H$10">
      <formula>NOT(ISERROR(SEARCH($H$10,C433)))</formula>
      <formula>$H$10</formula>
    </cfRule>
    <cfRule type="containsText" dxfId="1802" priority="2843" operator="containsText" text="$H$11">
      <formula>NOT(ISERROR(SEARCH($H$11,C433)))</formula>
      <formula>$H$11</formula>
    </cfRule>
    <cfRule type="containsText" dxfId="1801" priority="2842" operator="containsText" text="$H$12">
      <formula>NOT(ISERROR(SEARCH($H$12,C433)))</formula>
      <formula>$H$12</formula>
    </cfRule>
    <cfRule type="containsText" dxfId="1800" priority="2841" operator="containsText" text="$H$13">
      <formula>NOT(ISERROR(SEARCH($H$13,C433)))</formula>
      <formula>$H$13</formula>
    </cfRule>
  </conditionalFormatting>
  <conditionalFormatting sqref="C435">
    <cfRule type="containsText" dxfId="1799" priority="2840" operator="containsText" text="$H$7">
      <formula>NOT(ISERROR(SEARCH($H$7,C435)))</formula>
      <formula>$H$7</formula>
    </cfRule>
    <cfRule type="containsText" dxfId="1798" priority="2839" operator="containsText" text="$H$8">
      <formula>NOT(ISERROR(SEARCH($H$8,C435)))</formula>
      <formula>$H$8</formula>
    </cfRule>
    <cfRule type="containsText" dxfId="1797" priority="2838" operator="containsText" text="$H$8">
      <formula>NOT(ISERROR(SEARCH($H$8,C435)))</formula>
      <formula>$H$8</formula>
    </cfRule>
    <cfRule type="containsText" dxfId="1796" priority="2837" operator="containsText" text="$H$9">
      <formula>NOT(ISERROR(SEARCH($H$9,C435)))</formula>
      <formula>$H$9</formula>
    </cfRule>
    <cfRule type="containsText" dxfId="1795" priority="2836" operator="containsText" text="$H$10">
      <formula>NOT(ISERROR(SEARCH($H$10,C435)))</formula>
      <formula>$H$10</formula>
    </cfRule>
    <cfRule type="containsText" dxfId="1794" priority="2835" operator="containsText" text="$H$11">
      <formula>NOT(ISERROR(SEARCH($H$11,C435)))</formula>
      <formula>$H$11</formula>
    </cfRule>
    <cfRule type="containsText" dxfId="1793" priority="2834" operator="containsText" text="$H$12">
      <formula>NOT(ISERROR(SEARCH($H$12,C435)))</formula>
      <formula>$H$12</formula>
    </cfRule>
    <cfRule type="containsText" dxfId="1792" priority="2833" operator="containsText" text="$H$13">
      <formula>NOT(ISERROR(SEARCH($H$13,C435)))</formula>
      <formula>$H$13</formula>
    </cfRule>
  </conditionalFormatting>
  <conditionalFormatting sqref="E429">
    <cfRule type="containsText" dxfId="1791" priority="2832" operator="containsText" text="$H$7">
      <formula>NOT(ISERROR(SEARCH($H$7,E429)))</formula>
      <formula>$H$7</formula>
    </cfRule>
    <cfRule type="containsText" dxfId="1790" priority="2831" operator="containsText" text="$H$8">
      <formula>NOT(ISERROR(SEARCH($H$8,E429)))</formula>
      <formula>$H$8</formula>
    </cfRule>
    <cfRule type="containsText" dxfId="1789" priority="2830" operator="containsText" text="$H$8">
      <formula>NOT(ISERROR(SEARCH($H$8,E429)))</formula>
      <formula>$H$8</formula>
    </cfRule>
    <cfRule type="containsText" dxfId="1788" priority="2829" operator="containsText" text="$H$9">
      <formula>NOT(ISERROR(SEARCH($H$9,E429)))</formula>
      <formula>$H$9</formula>
    </cfRule>
    <cfRule type="containsText" dxfId="1787" priority="2828" operator="containsText" text="$H$10">
      <formula>NOT(ISERROR(SEARCH($H$10,E429)))</formula>
      <formula>$H$10</formula>
    </cfRule>
    <cfRule type="containsText" dxfId="1786" priority="2827" operator="containsText" text="$H$11">
      <formula>NOT(ISERROR(SEARCH($H$11,E429)))</formula>
      <formula>$H$11</formula>
    </cfRule>
    <cfRule type="containsText" dxfId="1785" priority="2826" operator="containsText" text="$H$12">
      <formula>NOT(ISERROR(SEARCH($H$12,E429)))</formula>
      <formula>$H$12</formula>
    </cfRule>
    <cfRule type="containsText" dxfId="1784" priority="2825" operator="containsText" text="$H$13">
      <formula>NOT(ISERROR(SEARCH($H$13,E429)))</formula>
      <formula>$H$13</formula>
    </cfRule>
  </conditionalFormatting>
  <conditionalFormatting sqref="E431">
    <cfRule type="containsText" dxfId="1783" priority="2824" operator="containsText" text="$H$7">
      <formula>NOT(ISERROR(SEARCH($H$7,E431)))</formula>
      <formula>$H$7</formula>
    </cfRule>
    <cfRule type="containsText" dxfId="1782" priority="2823" operator="containsText" text="$H$8">
      <formula>NOT(ISERROR(SEARCH($H$8,E431)))</formula>
      <formula>$H$8</formula>
    </cfRule>
    <cfRule type="containsText" dxfId="1781" priority="2822" operator="containsText" text="$H$8">
      <formula>NOT(ISERROR(SEARCH($H$8,E431)))</formula>
      <formula>$H$8</formula>
    </cfRule>
    <cfRule type="containsText" dxfId="1780" priority="2821" operator="containsText" text="$H$9">
      <formula>NOT(ISERROR(SEARCH($H$9,E431)))</formula>
      <formula>$H$9</formula>
    </cfRule>
    <cfRule type="containsText" dxfId="1779" priority="2820" operator="containsText" text="$H$10">
      <formula>NOT(ISERROR(SEARCH($H$10,E431)))</formula>
      <formula>$H$10</formula>
    </cfRule>
    <cfRule type="containsText" dxfId="1778" priority="2819" operator="containsText" text="$H$11">
      <formula>NOT(ISERROR(SEARCH($H$11,E431)))</formula>
      <formula>$H$11</formula>
    </cfRule>
    <cfRule type="containsText" dxfId="1777" priority="2818" operator="containsText" text="$H$12">
      <formula>NOT(ISERROR(SEARCH($H$12,E431)))</formula>
      <formula>$H$12</formula>
    </cfRule>
    <cfRule type="containsText" dxfId="1776" priority="2817" operator="containsText" text="$H$13">
      <formula>NOT(ISERROR(SEARCH($H$13,E431)))</formula>
      <formula>$H$13</formula>
    </cfRule>
  </conditionalFormatting>
  <conditionalFormatting sqref="E433">
    <cfRule type="containsText" dxfId="1775" priority="2816" operator="containsText" text="$H$7">
      <formula>NOT(ISERROR(SEARCH($H$7,E433)))</formula>
      <formula>$H$7</formula>
    </cfRule>
    <cfRule type="containsText" dxfId="1774" priority="2815" operator="containsText" text="$H$8">
      <formula>NOT(ISERROR(SEARCH($H$8,E433)))</formula>
      <formula>$H$8</formula>
    </cfRule>
    <cfRule type="containsText" dxfId="1773" priority="2814" operator="containsText" text="$H$8">
      <formula>NOT(ISERROR(SEARCH($H$8,E433)))</formula>
      <formula>$H$8</formula>
    </cfRule>
    <cfRule type="containsText" dxfId="1772" priority="2813" operator="containsText" text="$H$9">
      <formula>NOT(ISERROR(SEARCH($H$9,E433)))</formula>
      <formula>$H$9</formula>
    </cfRule>
    <cfRule type="containsText" dxfId="1771" priority="2812" operator="containsText" text="$H$10">
      <formula>NOT(ISERROR(SEARCH($H$10,E433)))</formula>
      <formula>$H$10</formula>
    </cfRule>
    <cfRule type="containsText" dxfId="1770" priority="2811" operator="containsText" text="$H$11">
      <formula>NOT(ISERROR(SEARCH($H$11,E433)))</formula>
      <formula>$H$11</formula>
    </cfRule>
    <cfRule type="containsText" dxfId="1769" priority="2810" operator="containsText" text="$H$12">
      <formula>NOT(ISERROR(SEARCH($H$12,E433)))</formula>
      <formula>$H$12</formula>
    </cfRule>
    <cfRule type="containsText" dxfId="1768" priority="2809" operator="containsText" text="$H$13">
      <formula>NOT(ISERROR(SEARCH($H$13,E433)))</formula>
      <formula>$H$13</formula>
    </cfRule>
  </conditionalFormatting>
  <conditionalFormatting sqref="E435">
    <cfRule type="containsText" dxfId="1767" priority="2808" operator="containsText" text="$H$7">
      <formula>NOT(ISERROR(SEARCH($H$7,E435)))</formula>
      <formula>$H$7</formula>
    </cfRule>
    <cfRule type="containsText" dxfId="1766" priority="2807" operator="containsText" text="$H$8">
      <formula>NOT(ISERROR(SEARCH($H$8,E435)))</formula>
      <formula>$H$8</formula>
    </cfRule>
    <cfRule type="containsText" dxfId="1765" priority="2806" operator="containsText" text="$H$8">
      <formula>NOT(ISERROR(SEARCH($H$8,E435)))</formula>
      <formula>$H$8</formula>
    </cfRule>
    <cfRule type="containsText" dxfId="1764" priority="2805" operator="containsText" text="$H$9">
      <formula>NOT(ISERROR(SEARCH($H$9,E435)))</formula>
      <formula>$H$9</formula>
    </cfRule>
    <cfRule type="containsText" dxfId="1763" priority="2804" operator="containsText" text="$H$10">
      <formula>NOT(ISERROR(SEARCH($H$10,E435)))</formula>
      <formula>$H$10</formula>
    </cfRule>
    <cfRule type="containsText" dxfId="1762" priority="2803" operator="containsText" text="$H$11">
      <formula>NOT(ISERROR(SEARCH($H$11,E435)))</formula>
      <formula>$H$11</formula>
    </cfRule>
    <cfRule type="containsText" dxfId="1761" priority="2802" operator="containsText" text="$H$12">
      <formula>NOT(ISERROR(SEARCH($H$12,E435)))</formula>
      <formula>$H$12</formula>
    </cfRule>
    <cfRule type="containsText" dxfId="1760" priority="2801" operator="containsText" text="$H$13">
      <formula>NOT(ISERROR(SEARCH($H$13,E435)))</formula>
      <formula>$H$13</formula>
    </cfRule>
  </conditionalFormatting>
  <conditionalFormatting sqref="C411">
    <cfRule type="containsText" dxfId="1759" priority="2800" operator="containsText" text="$H$7">
      <formula>NOT(ISERROR(SEARCH($H$7,C411)))</formula>
      <formula>$H$7</formula>
    </cfRule>
    <cfRule type="containsText" dxfId="1758" priority="2799" operator="containsText" text="$H$8">
      <formula>NOT(ISERROR(SEARCH($H$8,C411)))</formula>
      <formula>$H$8</formula>
    </cfRule>
    <cfRule type="containsText" dxfId="1757" priority="2798" operator="containsText" text="$H$8">
      <formula>NOT(ISERROR(SEARCH($H$8,C411)))</formula>
      <formula>$H$8</formula>
    </cfRule>
    <cfRule type="containsText" dxfId="1756" priority="2797" operator="containsText" text="$H$9">
      <formula>NOT(ISERROR(SEARCH($H$9,C411)))</formula>
      <formula>$H$9</formula>
    </cfRule>
    <cfRule type="containsText" dxfId="1755" priority="2796" operator="containsText" text="$H$10">
      <formula>NOT(ISERROR(SEARCH($H$10,C411)))</formula>
      <formula>$H$10</formula>
    </cfRule>
    <cfRule type="containsText" dxfId="1754" priority="2795" operator="containsText" text="$H$11">
      <formula>NOT(ISERROR(SEARCH($H$11,C411)))</formula>
      <formula>$H$11</formula>
    </cfRule>
    <cfRule type="containsText" dxfId="1753" priority="2794" operator="containsText" text="$H$12">
      <formula>NOT(ISERROR(SEARCH($H$12,C411)))</formula>
      <formula>$H$12</formula>
    </cfRule>
    <cfRule type="containsText" dxfId="1752" priority="2793" operator="containsText" text="$H$13">
      <formula>NOT(ISERROR(SEARCH($H$13,C411)))</formula>
      <formula>$H$13</formula>
    </cfRule>
  </conditionalFormatting>
  <conditionalFormatting sqref="C413">
    <cfRule type="containsText" dxfId="1751" priority="2792" operator="containsText" text="$H$7">
      <formula>NOT(ISERROR(SEARCH($H$7,C413)))</formula>
      <formula>$H$7</formula>
    </cfRule>
    <cfRule type="containsText" dxfId="1750" priority="2791" operator="containsText" text="$H$8">
      <formula>NOT(ISERROR(SEARCH($H$8,C413)))</formula>
      <formula>$H$8</formula>
    </cfRule>
    <cfRule type="containsText" dxfId="1749" priority="2790" operator="containsText" text="$H$8">
      <formula>NOT(ISERROR(SEARCH($H$8,C413)))</formula>
      <formula>$H$8</formula>
    </cfRule>
    <cfRule type="containsText" dxfId="1748" priority="2789" operator="containsText" text="$H$9">
      <formula>NOT(ISERROR(SEARCH($H$9,C413)))</formula>
      <formula>$H$9</formula>
    </cfRule>
    <cfRule type="containsText" dxfId="1747" priority="2788" operator="containsText" text="$H$10">
      <formula>NOT(ISERROR(SEARCH($H$10,C413)))</formula>
      <formula>$H$10</formula>
    </cfRule>
    <cfRule type="containsText" dxfId="1746" priority="2787" operator="containsText" text="$H$11">
      <formula>NOT(ISERROR(SEARCH($H$11,C413)))</formula>
      <formula>$H$11</formula>
    </cfRule>
    <cfRule type="containsText" dxfId="1745" priority="2786" operator="containsText" text="$H$12">
      <formula>NOT(ISERROR(SEARCH($H$12,C413)))</formula>
      <formula>$H$12</formula>
    </cfRule>
    <cfRule type="containsText" dxfId="1744" priority="2785" operator="containsText" text="$H$13">
      <formula>NOT(ISERROR(SEARCH($H$13,C413)))</formula>
      <formula>$H$13</formula>
    </cfRule>
  </conditionalFormatting>
  <conditionalFormatting sqref="C415">
    <cfRule type="containsText" dxfId="1743" priority="2784" operator="containsText" text="$H$7">
      <formula>NOT(ISERROR(SEARCH($H$7,C415)))</formula>
      <formula>$H$7</formula>
    </cfRule>
    <cfRule type="containsText" dxfId="1742" priority="2783" operator="containsText" text="$H$8">
      <formula>NOT(ISERROR(SEARCH($H$8,C415)))</formula>
      <formula>$H$8</formula>
    </cfRule>
    <cfRule type="containsText" dxfId="1741" priority="2782" operator="containsText" text="$H$8">
      <formula>NOT(ISERROR(SEARCH($H$8,C415)))</formula>
      <formula>$H$8</formula>
    </cfRule>
    <cfRule type="containsText" dxfId="1740" priority="2781" operator="containsText" text="$H$9">
      <formula>NOT(ISERROR(SEARCH($H$9,C415)))</formula>
      <formula>$H$9</formula>
    </cfRule>
    <cfRule type="containsText" dxfId="1739" priority="2780" operator="containsText" text="$H$10">
      <formula>NOT(ISERROR(SEARCH($H$10,C415)))</formula>
      <formula>$H$10</formula>
    </cfRule>
    <cfRule type="containsText" dxfId="1738" priority="2779" operator="containsText" text="$H$11">
      <formula>NOT(ISERROR(SEARCH($H$11,C415)))</formula>
      <formula>$H$11</formula>
    </cfRule>
    <cfRule type="containsText" dxfId="1737" priority="2778" operator="containsText" text="$H$12">
      <formula>NOT(ISERROR(SEARCH($H$12,C415)))</formula>
      <formula>$H$12</formula>
    </cfRule>
    <cfRule type="containsText" dxfId="1736" priority="2777" operator="containsText" text="$H$13">
      <formula>NOT(ISERROR(SEARCH($H$13,C415)))</formula>
      <formula>$H$13</formula>
    </cfRule>
  </conditionalFormatting>
  <conditionalFormatting sqref="C417">
    <cfRule type="containsText" dxfId="1735" priority="2776" operator="containsText" text="$H$7">
      <formula>NOT(ISERROR(SEARCH($H$7,C417)))</formula>
      <formula>$H$7</formula>
    </cfRule>
    <cfRule type="containsText" dxfId="1734" priority="2775" operator="containsText" text="$H$8">
      <formula>NOT(ISERROR(SEARCH($H$8,C417)))</formula>
      <formula>$H$8</formula>
    </cfRule>
    <cfRule type="containsText" dxfId="1733" priority="2774" operator="containsText" text="$H$8">
      <formula>NOT(ISERROR(SEARCH($H$8,C417)))</formula>
      <formula>$H$8</formula>
    </cfRule>
    <cfRule type="containsText" dxfId="1732" priority="2773" operator="containsText" text="$H$9">
      <formula>NOT(ISERROR(SEARCH($H$9,C417)))</formula>
      <formula>$H$9</formula>
    </cfRule>
    <cfRule type="containsText" dxfId="1731" priority="2772" operator="containsText" text="$H$10">
      <formula>NOT(ISERROR(SEARCH($H$10,C417)))</formula>
      <formula>$H$10</formula>
    </cfRule>
    <cfRule type="containsText" dxfId="1730" priority="2771" operator="containsText" text="$H$11">
      <formula>NOT(ISERROR(SEARCH($H$11,C417)))</formula>
      <formula>$H$11</formula>
    </cfRule>
    <cfRule type="containsText" dxfId="1729" priority="2770" operator="containsText" text="$H$12">
      <formula>NOT(ISERROR(SEARCH($H$12,C417)))</formula>
      <formula>$H$12</formula>
    </cfRule>
    <cfRule type="containsText" dxfId="1728" priority="2769" operator="containsText" text="$H$13">
      <formula>NOT(ISERROR(SEARCH($H$13,C417)))</formula>
      <formula>$H$13</formula>
    </cfRule>
  </conditionalFormatting>
  <conditionalFormatting sqref="E411">
    <cfRule type="containsText" dxfId="1727" priority="2768" operator="containsText" text="$H$7">
      <formula>NOT(ISERROR(SEARCH($H$7,E411)))</formula>
      <formula>$H$7</formula>
    </cfRule>
    <cfRule type="containsText" dxfId="1726" priority="2767" operator="containsText" text="$H$8">
      <formula>NOT(ISERROR(SEARCH($H$8,E411)))</formula>
      <formula>$H$8</formula>
    </cfRule>
    <cfRule type="containsText" dxfId="1725" priority="2766" operator="containsText" text="$H$8">
      <formula>NOT(ISERROR(SEARCH($H$8,E411)))</formula>
      <formula>$H$8</formula>
    </cfRule>
    <cfRule type="containsText" dxfId="1724" priority="2765" operator="containsText" text="$H$9">
      <formula>NOT(ISERROR(SEARCH($H$9,E411)))</formula>
      <formula>$H$9</formula>
    </cfRule>
    <cfRule type="containsText" dxfId="1723" priority="2764" operator="containsText" text="$H$10">
      <formula>NOT(ISERROR(SEARCH($H$10,E411)))</formula>
      <formula>$H$10</formula>
    </cfRule>
    <cfRule type="containsText" dxfId="1722" priority="2763" operator="containsText" text="$H$11">
      <formula>NOT(ISERROR(SEARCH($H$11,E411)))</formula>
      <formula>$H$11</formula>
    </cfRule>
    <cfRule type="containsText" dxfId="1721" priority="2762" operator="containsText" text="$H$12">
      <formula>NOT(ISERROR(SEARCH($H$12,E411)))</formula>
      <formula>$H$12</formula>
    </cfRule>
    <cfRule type="containsText" dxfId="1720" priority="2761" operator="containsText" text="$H$13">
      <formula>NOT(ISERROR(SEARCH($H$13,E411)))</formula>
      <formula>$H$13</formula>
    </cfRule>
  </conditionalFormatting>
  <conditionalFormatting sqref="E413">
    <cfRule type="containsText" dxfId="1719" priority="2760" operator="containsText" text="$H$7">
      <formula>NOT(ISERROR(SEARCH($H$7,E413)))</formula>
      <formula>$H$7</formula>
    </cfRule>
    <cfRule type="containsText" dxfId="1718" priority="2759" operator="containsText" text="$H$8">
      <formula>NOT(ISERROR(SEARCH($H$8,E413)))</formula>
      <formula>$H$8</formula>
    </cfRule>
    <cfRule type="containsText" dxfId="1717" priority="2758" operator="containsText" text="$H$8">
      <formula>NOT(ISERROR(SEARCH($H$8,E413)))</formula>
      <formula>$H$8</formula>
    </cfRule>
    <cfRule type="containsText" dxfId="1716" priority="2757" operator="containsText" text="$H$9">
      <formula>NOT(ISERROR(SEARCH($H$9,E413)))</formula>
      <formula>$H$9</formula>
    </cfRule>
    <cfRule type="containsText" dxfId="1715" priority="2756" operator="containsText" text="$H$10">
      <formula>NOT(ISERROR(SEARCH($H$10,E413)))</formula>
      <formula>$H$10</formula>
    </cfRule>
    <cfRule type="containsText" dxfId="1714" priority="2755" operator="containsText" text="$H$11">
      <formula>NOT(ISERROR(SEARCH($H$11,E413)))</formula>
      <formula>$H$11</formula>
    </cfRule>
    <cfRule type="containsText" dxfId="1713" priority="2754" operator="containsText" text="$H$12">
      <formula>NOT(ISERROR(SEARCH($H$12,E413)))</formula>
      <formula>$H$12</formula>
    </cfRule>
    <cfRule type="containsText" dxfId="1712" priority="2753" operator="containsText" text="$H$13">
      <formula>NOT(ISERROR(SEARCH($H$13,E413)))</formula>
      <formula>$H$13</formula>
    </cfRule>
  </conditionalFormatting>
  <conditionalFormatting sqref="E415">
    <cfRule type="containsText" dxfId="1711" priority="2752" operator="containsText" text="$H$7">
      <formula>NOT(ISERROR(SEARCH($H$7,E415)))</formula>
      <formula>$H$7</formula>
    </cfRule>
    <cfRule type="containsText" dxfId="1710" priority="2751" operator="containsText" text="$H$8">
      <formula>NOT(ISERROR(SEARCH($H$8,E415)))</formula>
      <formula>$H$8</formula>
    </cfRule>
    <cfRule type="containsText" dxfId="1709" priority="2750" operator="containsText" text="$H$8">
      <formula>NOT(ISERROR(SEARCH($H$8,E415)))</formula>
      <formula>$H$8</formula>
    </cfRule>
    <cfRule type="containsText" dxfId="1708" priority="2749" operator="containsText" text="$H$9">
      <formula>NOT(ISERROR(SEARCH($H$9,E415)))</formula>
      <formula>$H$9</formula>
    </cfRule>
    <cfRule type="containsText" dxfId="1707" priority="2748" operator="containsText" text="$H$10">
      <formula>NOT(ISERROR(SEARCH($H$10,E415)))</formula>
      <formula>$H$10</formula>
    </cfRule>
    <cfRule type="containsText" dxfId="1706" priority="2747" operator="containsText" text="$H$11">
      <formula>NOT(ISERROR(SEARCH($H$11,E415)))</formula>
      <formula>$H$11</formula>
    </cfRule>
    <cfRule type="containsText" dxfId="1705" priority="2746" operator="containsText" text="$H$12">
      <formula>NOT(ISERROR(SEARCH($H$12,E415)))</formula>
      <formula>$H$12</formula>
    </cfRule>
    <cfRule type="containsText" dxfId="1704" priority="2745" operator="containsText" text="$H$13">
      <formula>NOT(ISERROR(SEARCH($H$13,E415)))</formula>
      <formula>$H$13</formula>
    </cfRule>
  </conditionalFormatting>
  <conditionalFormatting sqref="E417">
    <cfRule type="containsText" dxfId="1703" priority="2744" operator="containsText" text="$H$7">
      <formula>NOT(ISERROR(SEARCH($H$7,E417)))</formula>
      <formula>$H$7</formula>
    </cfRule>
    <cfRule type="containsText" dxfId="1702" priority="2743" operator="containsText" text="$H$8">
      <formula>NOT(ISERROR(SEARCH($H$8,E417)))</formula>
      <formula>$H$8</formula>
    </cfRule>
    <cfRule type="containsText" dxfId="1701" priority="2742" operator="containsText" text="$H$8">
      <formula>NOT(ISERROR(SEARCH($H$8,E417)))</formula>
      <formula>$H$8</formula>
    </cfRule>
    <cfRule type="containsText" dxfId="1700" priority="2741" operator="containsText" text="$H$9">
      <formula>NOT(ISERROR(SEARCH($H$9,E417)))</formula>
      <formula>$H$9</formula>
    </cfRule>
    <cfRule type="containsText" dxfId="1699" priority="2740" operator="containsText" text="$H$10">
      <formula>NOT(ISERROR(SEARCH($H$10,E417)))</formula>
      <formula>$H$10</formula>
    </cfRule>
    <cfRule type="containsText" dxfId="1698" priority="2739" operator="containsText" text="$H$11">
      <formula>NOT(ISERROR(SEARCH($H$11,E417)))</formula>
      <formula>$H$11</formula>
    </cfRule>
    <cfRule type="containsText" dxfId="1697" priority="2738" operator="containsText" text="$H$12">
      <formula>NOT(ISERROR(SEARCH($H$12,E417)))</formula>
      <formula>$H$12</formula>
    </cfRule>
    <cfRule type="containsText" dxfId="1696" priority="2737" operator="containsText" text="$H$13">
      <formula>NOT(ISERROR(SEARCH($H$13,E417)))</formula>
      <formula>$H$13</formula>
    </cfRule>
  </conditionalFormatting>
  <conditionalFormatting sqref="E385">
    <cfRule type="containsText" dxfId="1695" priority="2736" operator="containsText" text="$H$7">
      <formula>NOT(ISERROR(SEARCH($H$7,E385)))</formula>
      <formula>$H$7</formula>
    </cfRule>
    <cfRule type="containsText" dxfId="1694" priority="2735" operator="containsText" text="$H$8">
      <formula>NOT(ISERROR(SEARCH($H$8,E385)))</formula>
      <formula>$H$8</formula>
    </cfRule>
    <cfRule type="containsText" dxfId="1693" priority="2734" operator="containsText" text="$H$8">
      <formula>NOT(ISERROR(SEARCH($H$8,E385)))</formula>
      <formula>$H$8</formula>
    </cfRule>
    <cfRule type="containsText" dxfId="1692" priority="2733" operator="containsText" text="$H$9">
      <formula>NOT(ISERROR(SEARCH($H$9,E385)))</formula>
      <formula>$H$9</formula>
    </cfRule>
    <cfRule type="containsText" dxfId="1691" priority="2732" operator="containsText" text="$H$10">
      <formula>NOT(ISERROR(SEARCH($H$10,E385)))</formula>
      <formula>$H$10</formula>
    </cfRule>
    <cfRule type="containsText" dxfId="1690" priority="2731" operator="containsText" text="$H$11">
      <formula>NOT(ISERROR(SEARCH($H$11,E385)))</formula>
      <formula>$H$11</formula>
    </cfRule>
    <cfRule type="containsText" dxfId="1689" priority="2730" operator="containsText" text="$H$12">
      <formula>NOT(ISERROR(SEARCH($H$12,E385)))</formula>
      <formula>$H$12</formula>
    </cfRule>
    <cfRule type="containsText" dxfId="1688" priority="2729" operator="containsText" text="$H$13">
      <formula>NOT(ISERROR(SEARCH($H$13,E385)))</formula>
      <formula>$H$13</formula>
    </cfRule>
  </conditionalFormatting>
  <conditionalFormatting sqref="E387">
    <cfRule type="containsText" dxfId="1687" priority="2728" operator="containsText" text="$H$7">
      <formula>NOT(ISERROR(SEARCH($H$7,E387)))</formula>
      <formula>$H$7</formula>
    </cfRule>
    <cfRule type="containsText" dxfId="1686" priority="2727" operator="containsText" text="$H$8">
      <formula>NOT(ISERROR(SEARCH($H$8,E387)))</formula>
      <formula>$H$8</formula>
    </cfRule>
    <cfRule type="containsText" dxfId="1685" priority="2726" operator="containsText" text="$H$8">
      <formula>NOT(ISERROR(SEARCH($H$8,E387)))</formula>
      <formula>$H$8</formula>
    </cfRule>
    <cfRule type="containsText" dxfId="1684" priority="2725" operator="containsText" text="$H$9">
      <formula>NOT(ISERROR(SEARCH($H$9,E387)))</formula>
      <formula>$H$9</formula>
    </cfRule>
    <cfRule type="containsText" dxfId="1683" priority="2724" operator="containsText" text="$H$10">
      <formula>NOT(ISERROR(SEARCH($H$10,E387)))</formula>
      <formula>$H$10</formula>
    </cfRule>
    <cfRule type="containsText" dxfId="1682" priority="2723" operator="containsText" text="$H$11">
      <formula>NOT(ISERROR(SEARCH($H$11,E387)))</formula>
      <formula>$H$11</formula>
    </cfRule>
    <cfRule type="containsText" dxfId="1681" priority="2722" operator="containsText" text="$H$12">
      <formula>NOT(ISERROR(SEARCH($H$12,E387)))</formula>
      <formula>$H$12</formula>
    </cfRule>
    <cfRule type="containsText" dxfId="1680" priority="2721" operator="containsText" text="$H$13">
      <formula>NOT(ISERROR(SEARCH($H$13,E387)))</formula>
      <formula>$H$13</formula>
    </cfRule>
  </conditionalFormatting>
  <conditionalFormatting sqref="E389">
    <cfRule type="containsText" dxfId="1679" priority="2720" operator="containsText" text="$H$7">
      <formula>NOT(ISERROR(SEARCH($H$7,E389)))</formula>
      <formula>$H$7</formula>
    </cfRule>
    <cfRule type="containsText" dxfId="1678" priority="2719" operator="containsText" text="$H$8">
      <formula>NOT(ISERROR(SEARCH($H$8,E389)))</formula>
      <formula>$H$8</formula>
    </cfRule>
    <cfRule type="containsText" dxfId="1677" priority="2718" operator="containsText" text="$H$8">
      <formula>NOT(ISERROR(SEARCH($H$8,E389)))</formula>
      <formula>$H$8</formula>
    </cfRule>
    <cfRule type="containsText" dxfId="1676" priority="2717" operator="containsText" text="$H$9">
      <formula>NOT(ISERROR(SEARCH($H$9,E389)))</formula>
      <formula>$H$9</formula>
    </cfRule>
    <cfRule type="containsText" dxfId="1675" priority="2716" operator="containsText" text="$H$10">
      <formula>NOT(ISERROR(SEARCH($H$10,E389)))</formula>
      <formula>$H$10</formula>
    </cfRule>
    <cfRule type="containsText" dxfId="1674" priority="2715" operator="containsText" text="$H$11">
      <formula>NOT(ISERROR(SEARCH($H$11,E389)))</formula>
      <formula>$H$11</formula>
    </cfRule>
    <cfRule type="containsText" dxfId="1673" priority="2714" operator="containsText" text="$H$12">
      <formula>NOT(ISERROR(SEARCH($H$12,E389)))</formula>
      <formula>$H$12</formula>
    </cfRule>
    <cfRule type="containsText" dxfId="1672" priority="2713" operator="containsText" text="$H$13">
      <formula>NOT(ISERROR(SEARCH($H$13,E389)))</formula>
      <formula>$H$13</formula>
    </cfRule>
  </conditionalFormatting>
  <conditionalFormatting sqref="E391">
    <cfRule type="containsText" dxfId="1671" priority="2712" operator="containsText" text="$H$7">
      <formula>NOT(ISERROR(SEARCH($H$7,E391)))</formula>
      <formula>$H$7</formula>
    </cfRule>
    <cfRule type="containsText" dxfId="1670" priority="2711" operator="containsText" text="$H$8">
      <formula>NOT(ISERROR(SEARCH($H$8,E391)))</formula>
      <formula>$H$8</formula>
    </cfRule>
    <cfRule type="containsText" dxfId="1669" priority="2710" operator="containsText" text="$H$8">
      <formula>NOT(ISERROR(SEARCH($H$8,E391)))</formula>
      <formula>$H$8</formula>
    </cfRule>
    <cfRule type="containsText" dxfId="1668" priority="2709" operator="containsText" text="$H$9">
      <formula>NOT(ISERROR(SEARCH($H$9,E391)))</formula>
      <formula>$H$9</formula>
    </cfRule>
    <cfRule type="containsText" dxfId="1667" priority="2708" operator="containsText" text="$H$10">
      <formula>NOT(ISERROR(SEARCH($H$10,E391)))</formula>
      <formula>$H$10</formula>
    </cfRule>
    <cfRule type="containsText" dxfId="1666" priority="2707" operator="containsText" text="$H$11">
      <formula>NOT(ISERROR(SEARCH($H$11,E391)))</formula>
      <formula>$H$11</formula>
    </cfRule>
    <cfRule type="containsText" dxfId="1665" priority="2706" operator="containsText" text="$H$12">
      <formula>NOT(ISERROR(SEARCH($H$12,E391)))</formula>
      <formula>$H$12</formula>
    </cfRule>
    <cfRule type="containsText" dxfId="1664" priority="2705" operator="containsText" text="$H$13">
      <formula>NOT(ISERROR(SEARCH($H$13,E391)))</formula>
      <formula>$H$13</formula>
    </cfRule>
  </conditionalFormatting>
  <conditionalFormatting sqref="C393">
    <cfRule type="containsText" dxfId="1663" priority="2704" operator="containsText" text="$H$7">
      <formula>NOT(ISERROR(SEARCH($H$7,C393)))</formula>
      <formula>$H$7</formula>
    </cfRule>
    <cfRule type="containsText" dxfId="1662" priority="2703" operator="containsText" text="$H$8">
      <formula>NOT(ISERROR(SEARCH($H$8,C393)))</formula>
      <formula>$H$8</formula>
    </cfRule>
    <cfRule type="containsText" dxfId="1661" priority="2702" operator="containsText" text="$H$8">
      <formula>NOT(ISERROR(SEARCH($H$8,C393)))</formula>
      <formula>$H$8</formula>
    </cfRule>
    <cfRule type="containsText" dxfId="1660" priority="2701" operator="containsText" text="$H$9">
      <formula>NOT(ISERROR(SEARCH($H$9,C393)))</formula>
      <formula>$H$9</formula>
    </cfRule>
    <cfRule type="containsText" dxfId="1659" priority="2700" operator="containsText" text="$H$10">
      <formula>NOT(ISERROR(SEARCH($H$10,C393)))</formula>
      <formula>$H$10</formula>
    </cfRule>
    <cfRule type="containsText" dxfId="1658" priority="2699" operator="containsText" text="$H$11">
      <formula>NOT(ISERROR(SEARCH($H$11,C393)))</formula>
      <formula>$H$11</formula>
    </cfRule>
    <cfRule type="containsText" dxfId="1657" priority="2698" operator="containsText" text="$H$12">
      <formula>NOT(ISERROR(SEARCH($H$12,C393)))</formula>
      <formula>$H$12</formula>
    </cfRule>
    <cfRule type="containsText" dxfId="1656" priority="2697" operator="containsText" text="$H$13">
      <formula>NOT(ISERROR(SEARCH($H$13,C393)))</formula>
      <formula>$H$13</formula>
    </cfRule>
  </conditionalFormatting>
  <conditionalFormatting sqref="C395">
    <cfRule type="containsText" dxfId="1655" priority="2696" operator="containsText" text="$H$7">
      <formula>NOT(ISERROR(SEARCH($H$7,C395)))</formula>
      <formula>$H$7</formula>
    </cfRule>
    <cfRule type="containsText" dxfId="1654" priority="2695" operator="containsText" text="$H$8">
      <formula>NOT(ISERROR(SEARCH($H$8,C395)))</formula>
      <formula>$H$8</formula>
    </cfRule>
    <cfRule type="containsText" dxfId="1653" priority="2694" operator="containsText" text="$H$8">
      <formula>NOT(ISERROR(SEARCH($H$8,C395)))</formula>
      <formula>$H$8</formula>
    </cfRule>
    <cfRule type="containsText" dxfId="1652" priority="2693" operator="containsText" text="$H$9">
      <formula>NOT(ISERROR(SEARCH($H$9,C395)))</formula>
      <formula>$H$9</formula>
    </cfRule>
    <cfRule type="containsText" dxfId="1651" priority="2692" operator="containsText" text="$H$10">
      <formula>NOT(ISERROR(SEARCH($H$10,C395)))</formula>
      <formula>$H$10</formula>
    </cfRule>
    <cfRule type="containsText" dxfId="1650" priority="2691" operator="containsText" text="$H$11">
      <formula>NOT(ISERROR(SEARCH($H$11,C395)))</formula>
      <formula>$H$11</formula>
    </cfRule>
    <cfRule type="containsText" dxfId="1649" priority="2690" operator="containsText" text="$H$12">
      <formula>NOT(ISERROR(SEARCH($H$12,C395)))</formula>
      <formula>$H$12</formula>
    </cfRule>
    <cfRule type="containsText" dxfId="1648" priority="2689" operator="containsText" text="$H$13">
      <formula>NOT(ISERROR(SEARCH($H$13,C395)))</formula>
      <formula>$H$13</formula>
    </cfRule>
  </conditionalFormatting>
  <conditionalFormatting sqref="C397">
    <cfRule type="containsText" dxfId="1647" priority="2688" operator="containsText" text="$H$7">
      <formula>NOT(ISERROR(SEARCH($H$7,C397)))</formula>
      <formula>$H$7</formula>
    </cfRule>
    <cfRule type="containsText" dxfId="1646" priority="2687" operator="containsText" text="$H$8">
      <formula>NOT(ISERROR(SEARCH($H$8,C397)))</formula>
      <formula>$H$8</formula>
    </cfRule>
    <cfRule type="containsText" dxfId="1645" priority="2686" operator="containsText" text="$H$8">
      <formula>NOT(ISERROR(SEARCH($H$8,C397)))</formula>
      <formula>$H$8</formula>
    </cfRule>
    <cfRule type="containsText" dxfId="1644" priority="2685" operator="containsText" text="$H$9">
      <formula>NOT(ISERROR(SEARCH($H$9,C397)))</formula>
      <formula>$H$9</formula>
    </cfRule>
    <cfRule type="containsText" dxfId="1643" priority="2684" operator="containsText" text="$H$10">
      <formula>NOT(ISERROR(SEARCH($H$10,C397)))</formula>
      <formula>$H$10</formula>
    </cfRule>
    <cfRule type="containsText" dxfId="1642" priority="2683" operator="containsText" text="$H$11">
      <formula>NOT(ISERROR(SEARCH($H$11,C397)))</formula>
      <formula>$H$11</formula>
    </cfRule>
    <cfRule type="containsText" dxfId="1641" priority="2682" operator="containsText" text="$H$12">
      <formula>NOT(ISERROR(SEARCH($H$12,C397)))</formula>
      <formula>$H$12</formula>
    </cfRule>
    <cfRule type="containsText" dxfId="1640" priority="2681" operator="containsText" text="$H$13">
      <formula>NOT(ISERROR(SEARCH($H$13,C397)))</formula>
      <formula>$H$13</formula>
    </cfRule>
  </conditionalFormatting>
  <conditionalFormatting sqref="C399">
    <cfRule type="containsText" dxfId="1639" priority="2680" operator="containsText" text="$H$7">
      <formula>NOT(ISERROR(SEARCH($H$7,C399)))</formula>
      <formula>$H$7</formula>
    </cfRule>
    <cfRule type="containsText" dxfId="1638" priority="2679" operator="containsText" text="$H$8">
      <formula>NOT(ISERROR(SEARCH($H$8,C399)))</formula>
      <formula>$H$8</formula>
    </cfRule>
    <cfRule type="containsText" dxfId="1637" priority="2678" operator="containsText" text="$H$8">
      <formula>NOT(ISERROR(SEARCH($H$8,C399)))</formula>
      <formula>$H$8</formula>
    </cfRule>
    <cfRule type="containsText" dxfId="1636" priority="2677" operator="containsText" text="$H$9">
      <formula>NOT(ISERROR(SEARCH($H$9,C399)))</formula>
      <formula>$H$9</formula>
    </cfRule>
    <cfRule type="containsText" dxfId="1635" priority="2676" operator="containsText" text="$H$10">
      <formula>NOT(ISERROR(SEARCH($H$10,C399)))</formula>
      <formula>$H$10</formula>
    </cfRule>
    <cfRule type="containsText" dxfId="1634" priority="2675" operator="containsText" text="$H$11">
      <formula>NOT(ISERROR(SEARCH($H$11,C399)))</formula>
      <formula>$H$11</formula>
    </cfRule>
    <cfRule type="containsText" dxfId="1633" priority="2674" operator="containsText" text="$H$12">
      <formula>NOT(ISERROR(SEARCH($H$12,C399)))</formula>
      <formula>$H$12</formula>
    </cfRule>
    <cfRule type="containsText" dxfId="1632" priority="2673" operator="containsText" text="$H$13">
      <formula>NOT(ISERROR(SEARCH($H$13,C399)))</formula>
      <formula>$H$13</formula>
    </cfRule>
  </conditionalFormatting>
  <conditionalFormatting sqref="C441">
    <cfRule type="containsText" dxfId="1631" priority="2672" operator="containsText" text="$H$7">
      <formula>NOT(ISERROR(SEARCH($H$7,C441)))</formula>
      <formula>$H$7</formula>
    </cfRule>
    <cfRule type="containsText" dxfId="1630" priority="2671" operator="containsText" text="$H$8">
      <formula>NOT(ISERROR(SEARCH($H$8,C441)))</formula>
      <formula>$H$8</formula>
    </cfRule>
    <cfRule type="containsText" dxfId="1629" priority="2670" operator="containsText" text="$H$8">
      <formula>NOT(ISERROR(SEARCH($H$8,C441)))</formula>
      <formula>$H$8</formula>
    </cfRule>
    <cfRule type="containsText" dxfId="1628" priority="2669" operator="containsText" text="$H$9">
      <formula>NOT(ISERROR(SEARCH($H$9,C441)))</formula>
      <formula>$H$9</formula>
    </cfRule>
    <cfRule type="containsText" dxfId="1627" priority="2668" operator="containsText" text="$H$10">
      <formula>NOT(ISERROR(SEARCH($H$10,C441)))</formula>
      <formula>$H$10</formula>
    </cfRule>
    <cfRule type="containsText" dxfId="1626" priority="2667" operator="containsText" text="$H$11">
      <formula>NOT(ISERROR(SEARCH($H$11,C441)))</formula>
      <formula>$H$11</formula>
    </cfRule>
    <cfRule type="containsText" dxfId="1625" priority="2666" operator="containsText" text="$H$12">
      <formula>NOT(ISERROR(SEARCH($H$12,C441)))</formula>
      <formula>$H$12</formula>
    </cfRule>
    <cfRule type="containsText" dxfId="1624" priority="2665" operator="containsText" text="$H$13">
      <formula>NOT(ISERROR(SEARCH($H$13,C441)))</formula>
      <formula>$H$13</formula>
    </cfRule>
  </conditionalFormatting>
  <conditionalFormatting sqref="C443">
    <cfRule type="containsText" dxfId="1623" priority="2664" operator="containsText" text="$H$7">
      <formula>NOT(ISERROR(SEARCH($H$7,C443)))</formula>
      <formula>$H$7</formula>
    </cfRule>
    <cfRule type="containsText" dxfId="1622" priority="2663" operator="containsText" text="$H$8">
      <formula>NOT(ISERROR(SEARCH($H$8,C443)))</formula>
      <formula>$H$8</formula>
    </cfRule>
    <cfRule type="containsText" dxfId="1621" priority="2662" operator="containsText" text="$H$8">
      <formula>NOT(ISERROR(SEARCH($H$8,C443)))</formula>
      <formula>$H$8</formula>
    </cfRule>
    <cfRule type="containsText" dxfId="1620" priority="2661" operator="containsText" text="$H$9">
      <formula>NOT(ISERROR(SEARCH($H$9,C443)))</formula>
      <formula>$H$9</formula>
    </cfRule>
    <cfRule type="containsText" dxfId="1619" priority="2660" operator="containsText" text="$H$10">
      <formula>NOT(ISERROR(SEARCH($H$10,C443)))</formula>
      <formula>$H$10</formula>
    </cfRule>
    <cfRule type="containsText" dxfId="1618" priority="2659" operator="containsText" text="$H$11">
      <formula>NOT(ISERROR(SEARCH($H$11,C443)))</formula>
      <formula>$H$11</formula>
    </cfRule>
    <cfRule type="containsText" dxfId="1617" priority="2658" operator="containsText" text="$H$12">
      <formula>NOT(ISERROR(SEARCH($H$12,C443)))</formula>
      <formula>$H$12</formula>
    </cfRule>
    <cfRule type="containsText" dxfId="1616" priority="2657" operator="containsText" text="$H$13">
      <formula>NOT(ISERROR(SEARCH($H$13,C443)))</formula>
      <formula>$H$13</formula>
    </cfRule>
  </conditionalFormatting>
  <conditionalFormatting sqref="C445">
    <cfRule type="containsText" dxfId="1615" priority="2656" operator="containsText" text="$H$7">
      <formula>NOT(ISERROR(SEARCH($H$7,C445)))</formula>
      <formula>$H$7</formula>
    </cfRule>
    <cfRule type="containsText" dxfId="1614" priority="2655" operator="containsText" text="$H$8">
      <formula>NOT(ISERROR(SEARCH($H$8,C445)))</formula>
      <formula>$H$8</formula>
    </cfRule>
    <cfRule type="containsText" dxfId="1613" priority="2654" operator="containsText" text="$H$8">
      <formula>NOT(ISERROR(SEARCH($H$8,C445)))</formula>
      <formula>$H$8</formula>
    </cfRule>
    <cfRule type="containsText" dxfId="1612" priority="2653" operator="containsText" text="$H$9">
      <formula>NOT(ISERROR(SEARCH($H$9,C445)))</formula>
      <formula>$H$9</formula>
    </cfRule>
    <cfRule type="containsText" dxfId="1611" priority="2652" operator="containsText" text="$H$10">
      <formula>NOT(ISERROR(SEARCH($H$10,C445)))</formula>
      <formula>$H$10</formula>
    </cfRule>
    <cfRule type="containsText" dxfId="1610" priority="2651" operator="containsText" text="$H$11">
      <formula>NOT(ISERROR(SEARCH($H$11,C445)))</formula>
      <formula>$H$11</formula>
    </cfRule>
    <cfRule type="containsText" dxfId="1609" priority="2650" operator="containsText" text="$H$12">
      <formula>NOT(ISERROR(SEARCH($H$12,C445)))</formula>
      <formula>$H$12</formula>
    </cfRule>
    <cfRule type="containsText" dxfId="1608" priority="2649" operator="containsText" text="$H$13">
      <formula>NOT(ISERROR(SEARCH($H$13,C445)))</formula>
      <formula>$H$13</formula>
    </cfRule>
  </conditionalFormatting>
  <conditionalFormatting sqref="E439">
    <cfRule type="containsText" dxfId="1607" priority="2648" operator="containsText" text="$H$7">
      <formula>NOT(ISERROR(SEARCH($H$7,E439)))</formula>
      <formula>$H$7</formula>
    </cfRule>
    <cfRule type="containsText" dxfId="1606" priority="2647" operator="containsText" text="$H$8">
      <formula>NOT(ISERROR(SEARCH($H$8,E439)))</formula>
      <formula>$H$8</formula>
    </cfRule>
    <cfRule type="containsText" dxfId="1605" priority="2646" operator="containsText" text="$H$8">
      <formula>NOT(ISERROR(SEARCH($H$8,E439)))</formula>
      <formula>$H$8</formula>
    </cfRule>
    <cfRule type="containsText" dxfId="1604" priority="2645" operator="containsText" text="$H$9">
      <formula>NOT(ISERROR(SEARCH($H$9,E439)))</formula>
      <formula>$H$9</formula>
    </cfRule>
    <cfRule type="containsText" dxfId="1603" priority="2644" operator="containsText" text="$H$10">
      <formula>NOT(ISERROR(SEARCH($H$10,E439)))</formula>
      <formula>$H$10</formula>
    </cfRule>
    <cfRule type="containsText" dxfId="1602" priority="2643" operator="containsText" text="$H$11">
      <formula>NOT(ISERROR(SEARCH($H$11,E439)))</formula>
      <formula>$H$11</formula>
    </cfRule>
    <cfRule type="containsText" dxfId="1601" priority="2642" operator="containsText" text="$H$12">
      <formula>NOT(ISERROR(SEARCH($H$12,E439)))</formula>
      <formula>$H$12</formula>
    </cfRule>
    <cfRule type="containsText" dxfId="1600" priority="2641" operator="containsText" text="$H$13">
      <formula>NOT(ISERROR(SEARCH($H$13,E439)))</formula>
      <formula>$H$13</formula>
    </cfRule>
  </conditionalFormatting>
  <conditionalFormatting sqref="E441">
    <cfRule type="containsText" dxfId="1599" priority="2640" operator="containsText" text="$H$7">
      <formula>NOT(ISERROR(SEARCH($H$7,E441)))</formula>
      <formula>$H$7</formula>
    </cfRule>
    <cfRule type="containsText" dxfId="1598" priority="2639" operator="containsText" text="$H$8">
      <formula>NOT(ISERROR(SEARCH($H$8,E441)))</formula>
      <formula>$H$8</formula>
    </cfRule>
    <cfRule type="containsText" dxfId="1597" priority="2638" operator="containsText" text="$H$8">
      <formula>NOT(ISERROR(SEARCH($H$8,E441)))</formula>
      <formula>$H$8</formula>
    </cfRule>
    <cfRule type="containsText" dxfId="1596" priority="2637" operator="containsText" text="$H$9">
      <formula>NOT(ISERROR(SEARCH($H$9,E441)))</formula>
      <formula>$H$9</formula>
    </cfRule>
    <cfRule type="containsText" dxfId="1595" priority="2636" operator="containsText" text="$H$10">
      <formula>NOT(ISERROR(SEARCH($H$10,E441)))</formula>
      <formula>$H$10</formula>
    </cfRule>
    <cfRule type="containsText" dxfId="1594" priority="2635" operator="containsText" text="$H$11">
      <formula>NOT(ISERROR(SEARCH($H$11,E441)))</formula>
      <formula>$H$11</formula>
    </cfRule>
    <cfRule type="containsText" dxfId="1593" priority="2634" operator="containsText" text="$H$12">
      <formula>NOT(ISERROR(SEARCH($H$12,E441)))</formula>
      <formula>$H$12</formula>
    </cfRule>
    <cfRule type="containsText" dxfId="1592" priority="2633" operator="containsText" text="$H$13">
      <formula>NOT(ISERROR(SEARCH($H$13,E441)))</formula>
      <formula>$H$13</formula>
    </cfRule>
  </conditionalFormatting>
  <conditionalFormatting sqref="E443">
    <cfRule type="containsText" dxfId="1591" priority="2632" operator="containsText" text="$H$7">
      <formula>NOT(ISERROR(SEARCH($H$7,E443)))</formula>
      <formula>$H$7</formula>
    </cfRule>
    <cfRule type="containsText" dxfId="1590" priority="2631" operator="containsText" text="$H$8">
      <formula>NOT(ISERROR(SEARCH($H$8,E443)))</formula>
      <formula>$H$8</formula>
    </cfRule>
    <cfRule type="containsText" dxfId="1589" priority="2630" operator="containsText" text="$H$8">
      <formula>NOT(ISERROR(SEARCH($H$8,E443)))</formula>
      <formula>$H$8</formula>
    </cfRule>
    <cfRule type="containsText" dxfId="1588" priority="2629" operator="containsText" text="$H$9">
      <formula>NOT(ISERROR(SEARCH($H$9,E443)))</formula>
      <formula>$H$9</formula>
    </cfRule>
    <cfRule type="containsText" dxfId="1587" priority="2628" operator="containsText" text="$H$10">
      <formula>NOT(ISERROR(SEARCH($H$10,E443)))</formula>
      <formula>$H$10</formula>
    </cfRule>
    <cfRule type="containsText" dxfId="1586" priority="2627" operator="containsText" text="$H$11">
      <formula>NOT(ISERROR(SEARCH($H$11,E443)))</formula>
      <formula>$H$11</formula>
    </cfRule>
    <cfRule type="containsText" dxfId="1585" priority="2626" operator="containsText" text="$H$12">
      <formula>NOT(ISERROR(SEARCH($H$12,E443)))</formula>
      <formula>$H$12</formula>
    </cfRule>
    <cfRule type="containsText" dxfId="1584" priority="2625" operator="containsText" text="$H$13">
      <formula>NOT(ISERROR(SEARCH($H$13,E443)))</formula>
      <formula>$H$13</formula>
    </cfRule>
  </conditionalFormatting>
  <conditionalFormatting sqref="E445">
    <cfRule type="containsText" dxfId="1583" priority="2624" operator="containsText" text="$H$7">
      <formula>NOT(ISERROR(SEARCH($H$7,E445)))</formula>
      <formula>$H$7</formula>
    </cfRule>
    <cfRule type="containsText" dxfId="1582" priority="2623" operator="containsText" text="$H$8">
      <formula>NOT(ISERROR(SEARCH($H$8,E445)))</formula>
      <formula>$H$8</formula>
    </cfRule>
    <cfRule type="containsText" dxfId="1581" priority="2622" operator="containsText" text="$H$8">
      <formula>NOT(ISERROR(SEARCH($H$8,E445)))</formula>
      <formula>$H$8</formula>
    </cfRule>
    <cfRule type="containsText" dxfId="1580" priority="2621" operator="containsText" text="$H$9">
      <formula>NOT(ISERROR(SEARCH($H$9,E445)))</formula>
      <formula>$H$9</formula>
    </cfRule>
    <cfRule type="containsText" dxfId="1579" priority="2620" operator="containsText" text="$H$10">
      <formula>NOT(ISERROR(SEARCH($H$10,E445)))</formula>
      <formula>$H$10</formula>
    </cfRule>
    <cfRule type="containsText" dxfId="1578" priority="2619" operator="containsText" text="$H$11">
      <formula>NOT(ISERROR(SEARCH($H$11,E445)))</formula>
      <formula>$H$11</formula>
    </cfRule>
    <cfRule type="containsText" dxfId="1577" priority="2618" operator="containsText" text="$H$12">
      <formula>NOT(ISERROR(SEARCH($H$12,E445)))</formula>
      <formula>$H$12</formula>
    </cfRule>
    <cfRule type="containsText" dxfId="1576" priority="2617" operator="containsText" text="$H$13">
      <formula>NOT(ISERROR(SEARCH($H$13,E445)))</formula>
      <formula>$H$13</formula>
    </cfRule>
  </conditionalFormatting>
  <conditionalFormatting sqref="C421">
    <cfRule type="containsText" dxfId="1575" priority="2616" operator="containsText" text="$H$7">
      <formula>NOT(ISERROR(SEARCH($H$7,C421)))</formula>
      <formula>$H$7</formula>
    </cfRule>
    <cfRule type="containsText" dxfId="1574" priority="2615" operator="containsText" text="$H$8">
      <formula>NOT(ISERROR(SEARCH($H$8,C421)))</formula>
      <formula>$H$8</formula>
    </cfRule>
    <cfRule type="containsText" dxfId="1573" priority="2614" operator="containsText" text="$H$8">
      <formula>NOT(ISERROR(SEARCH($H$8,C421)))</formula>
      <formula>$H$8</formula>
    </cfRule>
    <cfRule type="containsText" dxfId="1572" priority="2613" operator="containsText" text="$H$9">
      <formula>NOT(ISERROR(SEARCH($H$9,C421)))</formula>
      <formula>$H$9</formula>
    </cfRule>
    <cfRule type="containsText" dxfId="1571" priority="2612" operator="containsText" text="$H$10">
      <formula>NOT(ISERROR(SEARCH($H$10,C421)))</formula>
      <formula>$H$10</formula>
    </cfRule>
    <cfRule type="containsText" dxfId="1570" priority="2611" operator="containsText" text="$H$11">
      <formula>NOT(ISERROR(SEARCH($H$11,C421)))</formula>
      <formula>$H$11</formula>
    </cfRule>
    <cfRule type="containsText" dxfId="1569" priority="2610" operator="containsText" text="$H$12">
      <formula>NOT(ISERROR(SEARCH($H$12,C421)))</formula>
      <formula>$H$12</formula>
    </cfRule>
    <cfRule type="containsText" dxfId="1568" priority="2609" operator="containsText" text="$H$13">
      <formula>NOT(ISERROR(SEARCH($H$13,C421)))</formula>
      <formula>$H$13</formula>
    </cfRule>
  </conditionalFormatting>
  <conditionalFormatting sqref="C423">
    <cfRule type="containsText" dxfId="1567" priority="2608" operator="containsText" text="$H$7">
      <formula>NOT(ISERROR(SEARCH($H$7,C423)))</formula>
      <formula>$H$7</formula>
    </cfRule>
    <cfRule type="containsText" dxfId="1566" priority="2607" operator="containsText" text="$H$8">
      <formula>NOT(ISERROR(SEARCH($H$8,C423)))</formula>
      <formula>$H$8</formula>
    </cfRule>
    <cfRule type="containsText" dxfId="1565" priority="2606" operator="containsText" text="$H$8">
      <formula>NOT(ISERROR(SEARCH($H$8,C423)))</formula>
      <formula>$H$8</formula>
    </cfRule>
    <cfRule type="containsText" dxfId="1564" priority="2605" operator="containsText" text="$H$9">
      <formula>NOT(ISERROR(SEARCH($H$9,C423)))</formula>
      <formula>$H$9</formula>
    </cfRule>
    <cfRule type="containsText" dxfId="1563" priority="2604" operator="containsText" text="$H$10">
      <formula>NOT(ISERROR(SEARCH($H$10,C423)))</formula>
      <formula>$H$10</formula>
    </cfRule>
    <cfRule type="containsText" dxfId="1562" priority="2603" operator="containsText" text="$H$11">
      <formula>NOT(ISERROR(SEARCH($H$11,C423)))</formula>
      <formula>$H$11</formula>
    </cfRule>
    <cfRule type="containsText" dxfId="1561" priority="2602" operator="containsText" text="$H$12">
      <formula>NOT(ISERROR(SEARCH($H$12,C423)))</formula>
      <formula>$H$12</formula>
    </cfRule>
    <cfRule type="containsText" dxfId="1560" priority="2601" operator="containsText" text="$H$13">
      <formula>NOT(ISERROR(SEARCH($H$13,C423)))</formula>
      <formula>$H$13</formula>
    </cfRule>
  </conditionalFormatting>
  <conditionalFormatting sqref="C425">
    <cfRule type="containsText" dxfId="1559" priority="2600" operator="containsText" text="$H$7">
      <formula>NOT(ISERROR(SEARCH($H$7,C425)))</formula>
      <formula>$H$7</formula>
    </cfRule>
    <cfRule type="containsText" dxfId="1558" priority="2599" operator="containsText" text="$H$8">
      <formula>NOT(ISERROR(SEARCH($H$8,C425)))</formula>
      <formula>$H$8</formula>
    </cfRule>
    <cfRule type="containsText" dxfId="1557" priority="2598" operator="containsText" text="$H$8">
      <formula>NOT(ISERROR(SEARCH($H$8,C425)))</formula>
      <formula>$H$8</formula>
    </cfRule>
    <cfRule type="containsText" dxfId="1556" priority="2597" operator="containsText" text="$H$9">
      <formula>NOT(ISERROR(SEARCH($H$9,C425)))</formula>
      <formula>$H$9</formula>
    </cfRule>
    <cfRule type="containsText" dxfId="1555" priority="2596" operator="containsText" text="$H$10">
      <formula>NOT(ISERROR(SEARCH($H$10,C425)))</formula>
      <formula>$H$10</formula>
    </cfRule>
    <cfRule type="containsText" dxfId="1554" priority="2595" operator="containsText" text="$H$11">
      <formula>NOT(ISERROR(SEARCH($H$11,C425)))</formula>
      <formula>$H$11</formula>
    </cfRule>
    <cfRule type="containsText" dxfId="1553" priority="2594" operator="containsText" text="$H$12">
      <formula>NOT(ISERROR(SEARCH($H$12,C425)))</formula>
      <formula>$H$12</formula>
    </cfRule>
    <cfRule type="containsText" dxfId="1552" priority="2593" operator="containsText" text="$H$13">
      <formula>NOT(ISERROR(SEARCH($H$13,C425)))</formula>
      <formula>$H$13</formula>
    </cfRule>
  </conditionalFormatting>
  <conditionalFormatting sqref="C427">
    <cfRule type="containsText" dxfId="1551" priority="2592" operator="containsText" text="$H$7">
      <formula>NOT(ISERROR(SEARCH($H$7,C427)))</formula>
      <formula>$H$7</formula>
    </cfRule>
    <cfRule type="containsText" dxfId="1550" priority="2591" operator="containsText" text="$H$8">
      <formula>NOT(ISERROR(SEARCH($H$8,C427)))</formula>
      <formula>$H$8</formula>
    </cfRule>
    <cfRule type="containsText" dxfId="1549" priority="2590" operator="containsText" text="$H$8">
      <formula>NOT(ISERROR(SEARCH($H$8,C427)))</formula>
      <formula>$H$8</formula>
    </cfRule>
    <cfRule type="containsText" dxfId="1548" priority="2589" operator="containsText" text="$H$9">
      <formula>NOT(ISERROR(SEARCH($H$9,C427)))</formula>
      <formula>$H$9</formula>
    </cfRule>
    <cfRule type="containsText" dxfId="1547" priority="2588" operator="containsText" text="$H$10">
      <formula>NOT(ISERROR(SEARCH($H$10,C427)))</formula>
      <formula>$H$10</formula>
    </cfRule>
    <cfRule type="containsText" dxfId="1546" priority="2587" operator="containsText" text="$H$11">
      <formula>NOT(ISERROR(SEARCH($H$11,C427)))</formula>
      <formula>$H$11</formula>
    </cfRule>
    <cfRule type="containsText" dxfId="1545" priority="2586" operator="containsText" text="$H$12">
      <formula>NOT(ISERROR(SEARCH($H$12,C427)))</formula>
      <formula>$H$12</formula>
    </cfRule>
    <cfRule type="containsText" dxfId="1544" priority="2585" operator="containsText" text="$H$13">
      <formula>NOT(ISERROR(SEARCH($H$13,C427)))</formula>
      <formula>$H$13</formula>
    </cfRule>
  </conditionalFormatting>
  <conditionalFormatting sqref="E421">
    <cfRule type="containsText" dxfId="1543" priority="2584" operator="containsText" text="$H$7">
      <formula>NOT(ISERROR(SEARCH($H$7,E421)))</formula>
      <formula>$H$7</formula>
    </cfRule>
    <cfRule type="containsText" dxfId="1542" priority="2583" operator="containsText" text="$H$8">
      <formula>NOT(ISERROR(SEARCH($H$8,E421)))</formula>
      <formula>$H$8</formula>
    </cfRule>
    <cfRule type="containsText" dxfId="1541" priority="2582" operator="containsText" text="$H$8">
      <formula>NOT(ISERROR(SEARCH($H$8,E421)))</formula>
      <formula>$H$8</formula>
    </cfRule>
    <cfRule type="containsText" dxfId="1540" priority="2581" operator="containsText" text="$H$9">
      <formula>NOT(ISERROR(SEARCH($H$9,E421)))</formula>
      <formula>$H$9</formula>
    </cfRule>
    <cfRule type="containsText" dxfId="1539" priority="2580" operator="containsText" text="$H$10">
      <formula>NOT(ISERROR(SEARCH($H$10,E421)))</formula>
      <formula>$H$10</formula>
    </cfRule>
    <cfRule type="containsText" dxfId="1538" priority="2579" operator="containsText" text="$H$11">
      <formula>NOT(ISERROR(SEARCH($H$11,E421)))</formula>
      <formula>$H$11</formula>
    </cfRule>
    <cfRule type="containsText" dxfId="1537" priority="2578" operator="containsText" text="$H$12">
      <formula>NOT(ISERROR(SEARCH($H$12,E421)))</formula>
      <formula>$H$12</formula>
    </cfRule>
    <cfRule type="containsText" dxfId="1536" priority="2577" operator="containsText" text="$H$13">
      <formula>NOT(ISERROR(SEARCH($H$13,E421)))</formula>
      <formula>$H$13</formula>
    </cfRule>
  </conditionalFormatting>
  <conditionalFormatting sqref="E423">
    <cfRule type="containsText" dxfId="1535" priority="2576" operator="containsText" text="$H$7">
      <formula>NOT(ISERROR(SEARCH($H$7,E423)))</formula>
      <formula>$H$7</formula>
    </cfRule>
    <cfRule type="containsText" dxfId="1534" priority="2575" operator="containsText" text="$H$8">
      <formula>NOT(ISERROR(SEARCH($H$8,E423)))</formula>
      <formula>$H$8</formula>
    </cfRule>
    <cfRule type="containsText" dxfId="1533" priority="2574" operator="containsText" text="$H$8">
      <formula>NOT(ISERROR(SEARCH($H$8,E423)))</formula>
      <formula>$H$8</formula>
    </cfRule>
    <cfRule type="containsText" dxfId="1532" priority="2573" operator="containsText" text="$H$9">
      <formula>NOT(ISERROR(SEARCH($H$9,E423)))</formula>
      <formula>$H$9</formula>
    </cfRule>
    <cfRule type="containsText" dxfId="1531" priority="2572" operator="containsText" text="$H$10">
      <formula>NOT(ISERROR(SEARCH($H$10,E423)))</formula>
      <formula>$H$10</formula>
    </cfRule>
    <cfRule type="containsText" dxfId="1530" priority="2571" operator="containsText" text="$H$11">
      <formula>NOT(ISERROR(SEARCH($H$11,E423)))</formula>
      <formula>$H$11</formula>
    </cfRule>
    <cfRule type="containsText" dxfId="1529" priority="2570" operator="containsText" text="$H$12">
      <formula>NOT(ISERROR(SEARCH($H$12,E423)))</formula>
      <formula>$H$12</formula>
    </cfRule>
    <cfRule type="containsText" dxfId="1528" priority="2569" operator="containsText" text="$H$13">
      <formula>NOT(ISERROR(SEARCH($H$13,E423)))</formula>
      <formula>$H$13</formula>
    </cfRule>
  </conditionalFormatting>
  <conditionalFormatting sqref="E425">
    <cfRule type="containsText" dxfId="1527" priority="2568" operator="containsText" text="$H$7">
      <formula>NOT(ISERROR(SEARCH($H$7,E425)))</formula>
      <formula>$H$7</formula>
    </cfRule>
    <cfRule type="containsText" dxfId="1526" priority="2567" operator="containsText" text="$H$8">
      <formula>NOT(ISERROR(SEARCH($H$8,E425)))</formula>
      <formula>$H$8</formula>
    </cfRule>
    <cfRule type="containsText" dxfId="1525" priority="2566" operator="containsText" text="$H$8">
      <formula>NOT(ISERROR(SEARCH($H$8,E425)))</formula>
      <formula>$H$8</formula>
    </cfRule>
    <cfRule type="containsText" dxfId="1524" priority="2565" operator="containsText" text="$H$9">
      <formula>NOT(ISERROR(SEARCH($H$9,E425)))</formula>
      <formula>$H$9</formula>
    </cfRule>
    <cfRule type="containsText" dxfId="1523" priority="2564" operator="containsText" text="$H$10">
      <formula>NOT(ISERROR(SEARCH($H$10,E425)))</formula>
      <formula>$H$10</formula>
    </cfRule>
    <cfRule type="containsText" dxfId="1522" priority="2563" operator="containsText" text="$H$11">
      <formula>NOT(ISERROR(SEARCH($H$11,E425)))</formula>
      <formula>$H$11</formula>
    </cfRule>
    <cfRule type="containsText" dxfId="1521" priority="2562" operator="containsText" text="$H$12">
      <formula>NOT(ISERROR(SEARCH($H$12,E425)))</formula>
      <formula>$H$12</formula>
    </cfRule>
    <cfRule type="containsText" dxfId="1520" priority="2561" operator="containsText" text="$H$13">
      <formula>NOT(ISERROR(SEARCH($H$13,E425)))</formula>
      <formula>$H$13</formula>
    </cfRule>
  </conditionalFormatting>
  <conditionalFormatting sqref="E427">
    <cfRule type="containsText" dxfId="1519" priority="2560" operator="containsText" text="$H$7">
      <formula>NOT(ISERROR(SEARCH($H$7,E427)))</formula>
      <formula>$H$7</formula>
    </cfRule>
    <cfRule type="containsText" dxfId="1518" priority="2559" operator="containsText" text="$H$8">
      <formula>NOT(ISERROR(SEARCH($H$8,E427)))</formula>
      <formula>$H$8</formula>
    </cfRule>
    <cfRule type="containsText" dxfId="1517" priority="2558" operator="containsText" text="$H$8">
      <formula>NOT(ISERROR(SEARCH($H$8,E427)))</formula>
      <formula>$H$8</formula>
    </cfRule>
    <cfRule type="containsText" dxfId="1516" priority="2557" operator="containsText" text="$H$9">
      <formula>NOT(ISERROR(SEARCH($H$9,E427)))</formula>
      <formula>$H$9</formula>
    </cfRule>
    <cfRule type="containsText" dxfId="1515" priority="2556" operator="containsText" text="$H$10">
      <formula>NOT(ISERROR(SEARCH($H$10,E427)))</formula>
      <formula>$H$10</formula>
    </cfRule>
    <cfRule type="containsText" dxfId="1514" priority="2555" operator="containsText" text="$H$11">
      <formula>NOT(ISERROR(SEARCH($H$11,E427)))</formula>
      <formula>$H$11</formula>
    </cfRule>
    <cfRule type="containsText" dxfId="1513" priority="2554" operator="containsText" text="$H$12">
      <formula>NOT(ISERROR(SEARCH($H$12,E427)))</formula>
      <formula>$H$12</formula>
    </cfRule>
    <cfRule type="containsText" dxfId="1512" priority="2553" operator="containsText" text="$H$13">
      <formula>NOT(ISERROR(SEARCH($H$13,E427)))</formula>
      <formula>$H$13</formula>
    </cfRule>
  </conditionalFormatting>
  <conditionalFormatting sqref="C403">
    <cfRule type="containsText" dxfId="1511" priority="2552" operator="containsText" text="$H$7">
      <formula>NOT(ISERROR(SEARCH($H$7,C403)))</formula>
      <formula>$H$7</formula>
    </cfRule>
    <cfRule type="containsText" dxfId="1510" priority="2551" operator="containsText" text="$H$8">
      <formula>NOT(ISERROR(SEARCH($H$8,C403)))</formula>
      <formula>$H$8</formula>
    </cfRule>
    <cfRule type="containsText" dxfId="1509" priority="2550" operator="containsText" text="$H$8">
      <formula>NOT(ISERROR(SEARCH($H$8,C403)))</formula>
      <formula>$H$8</formula>
    </cfRule>
    <cfRule type="containsText" dxfId="1508" priority="2549" operator="containsText" text="$H$9">
      <formula>NOT(ISERROR(SEARCH($H$9,C403)))</formula>
      <formula>$H$9</formula>
    </cfRule>
    <cfRule type="containsText" dxfId="1507" priority="2548" operator="containsText" text="$H$10">
      <formula>NOT(ISERROR(SEARCH($H$10,C403)))</formula>
      <formula>$H$10</formula>
    </cfRule>
    <cfRule type="containsText" dxfId="1506" priority="2547" operator="containsText" text="$H$11">
      <formula>NOT(ISERROR(SEARCH($H$11,C403)))</formula>
      <formula>$H$11</formula>
    </cfRule>
    <cfRule type="containsText" dxfId="1505" priority="2546" operator="containsText" text="$H$12">
      <formula>NOT(ISERROR(SEARCH($H$12,C403)))</formula>
      <formula>$H$12</formula>
    </cfRule>
    <cfRule type="containsText" dxfId="1504" priority="2545" operator="containsText" text="$H$13">
      <formula>NOT(ISERROR(SEARCH($H$13,C403)))</formula>
      <formula>$H$13</formula>
    </cfRule>
  </conditionalFormatting>
  <conditionalFormatting sqref="C405">
    <cfRule type="containsText" dxfId="1503" priority="2544" operator="containsText" text="$H$7">
      <formula>NOT(ISERROR(SEARCH($H$7,C405)))</formula>
      <formula>$H$7</formula>
    </cfRule>
    <cfRule type="containsText" dxfId="1502" priority="2543" operator="containsText" text="$H$8">
      <formula>NOT(ISERROR(SEARCH($H$8,C405)))</formula>
      <formula>$H$8</formula>
    </cfRule>
    <cfRule type="containsText" dxfId="1501" priority="2542" operator="containsText" text="$H$8">
      <formula>NOT(ISERROR(SEARCH($H$8,C405)))</formula>
      <formula>$H$8</formula>
    </cfRule>
    <cfRule type="containsText" dxfId="1500" priority="2541" operator="containsText" text="$H$9">
      <formula>NOT(ISERROR(SEARCH($H$9,C405)))</formula>
      <formula>$H$9</formula>
    </cfRule>
    <cfRule type="containsText" dxfId="1499" priority="2540" operator="containsText" text="$H$10">
      <formula>NOT(ISERROR(SEARCH($H$10,C405)))</formula>
      <formula>$H$10</formula>
    </cfRule>
    <cfRule type="containsText" dxfId="1498" priority="2539" operator="containsText" text="$H$11">
      <formula>NOT(ISERROR(SEARCH($H$11,C405)))</formula>
      <formula>$H$11</formula>
    </cfRule>
    <cfRule type="containsText" dxfId="1497" priority="2538" operator="containsText" text="$H$12">
      <formula>NOT(ISERROR(SEARCH($H$12,C405)))</formula>
      <formula>$H$12</formula>
    </cfRule>
    <cfRule type="containsText" dxfId="1496" priority="2537" operator="containsText" text="$H$13">
      <formula>NOT(ISERROR(SEARCH($H$13,C405)))</formula>
      <formula>$H$13</formula>
    </cfRule>
  </conditionalFormatting>
  <conditionalFormatting sqref="C407">
    <cfRule type="containsText" dxfId="1495" priority="2536" operator="containsText" text="$H$7">
      <formula>NOT(ISERROR(SEARCH($H$7,C407)))</formula>
      <formula>$H$7</formula>
    </cfRule>
    <cfRule type="containsText" dxfId="1494" priority="2535" operator="containsText" text="$H$8">
      <formula>NOT(ISERROR(SEARCH($H$8,C407)))</formula>
      <formula>$H$8</formula>
    </cfRule>
    <cfRule type="containsText" dxfId="1493" priority="2534" operator="containsText" text="$H$8">
      <formula>NOT(ISERROR(SEARCH($H$8,C407)))</formula>
      <formula>$H$8</formula>
    </cfRule>
    <cfRule type="containsText" dxfId="1492" priority="2533" operator="containsText" text="$H$9">
      <formula>NOT(ISERROR(SEARCH($H$9,C407)))</formula>
      <formula>$H$9</formula>
    </cfRule>
    <cfRule type="containsText" dxfId="1491" priority="2532" operator="containsText" text="$H$10">
      <formula>NOT(ISERROR(SEARCH($H$10,C407)))</formula>
      <formula>$H$10</formula>
    </cfRule>
    <cfRule type="containsText" dxfId="1490" priority="2531" operator="containsText" text="$H$11">
      <formula>NOT(ISERROR(SEARCH($H$11,C407)))</formula>
      <formula>$H$11</formula>
    </cfRule>
    <cfRule type="containsText" dxfId="1489" priority="2530" operator="containsText" text="$H$12">
      <formula>NOT(ISERROR(SEARCH($H$12,C407)))</formula>
      <formula>$H$12</formula>
    </cfRule>
    <cfRule type="containsText" dxfId="1488" priority="2529" operator="containsText" text="$H$13">
      <formula>NOT(ISERROR(SEARCH($H$13,C407)))</formula>
      <formula>$H$13</formula>
    </cfRule>
  </conditionalFormatting>
  <conditionalFormatting sqref="C409">
    <cfRule type="containsText" dxfId="1487" priority="2528" operator="containsText" text="$H$7">
      <formula>NOT(ISERROR(SEARCH($H$7,C409)))</formula>
      <formula>$H$7</formula>
    </cfRule>
    <cfRule type="containsText" dxfId="1486" priority="2527" operator="containsText" text="$H$8">
      <formula>NOT(ISERROR(SEARCH($H$8,C409)))</formula>
      <formula>$H$8</formula>
    </cfRule>
    <cfRule type="containsText" dxfId="1485" priority="2526" operator="containsText" text="$H$8">
      <formula>NOT(ISERROR(SEARCH($H$8,C409)))</formula>
      <formula>$H$8</formula>
    </cfRule>
    <cfRule type="containsText" dxfId="1484" priority="2525" operator="containsText" text="$H$9">
      <formula>NOT(ISERROR(SEARCH($H$9,C409)))</formula>
      <formula>$H$9</formula>
    </cfRule>
    <cfRule type="containsText" dxfId="1483" priority="2524" operator="containsText" text="$H$10">
      <formula>NOT(ISERROR(SEARCH($H$10,C409)))</formula>
      <formula>$H$10</formula>
    </cfRule>
    <cfRule type="containsText" dxfId="1482" priority="2523" operator="containsText" text="$H$11">
      <formula>NOT(ISERROR(SEARCH($H$11,C409)))</formula>
      <formula>$H$11</formula>
    </cfRule>
    <cfRule type="containsText" dxfId="1481" priority="2522" operator="containsText" text="$H$12">
      <formula>NOT(ISERROR(SEARCH($H$12,C409)))</formula>
      <formula>$H$12</formula>
    </cfRule>
    <cfRule type="containsText" dxfId="1480" priority="2521" operator="containsText" text="$H$13">
      <formula>NOT(ISERROR(SEARCH($H$13,C409)))</formula>
      <formula>$H$13</formula>
    </cfRule>
  </conditionalFormatting>
  <conditionalFormatting sqref="E403">
    <cfRule type="containsText" dxfId="1479" priority="2520" operator="containsText" text="$H$7">
      <formula>NOT(ISERROR(SEARCH($H$7,E403)))</formula>
      <formula>$H$7</formula>
    </cfRule>
    <cfRule type="containsText" dxfId="1478" priority="2519" operator="containsText" text="$H$8">
      <formula>NOT(ISERROR(SEARCH($H$8,E403)))</formula>
      <formula>$H$8</formula>
    </cfRule>
    <cfRule type="containsText" dxfId="1477" priority="2518" operator="containsText" text="$H$8">
      <formula>NOT(ISERROR(SEARCH($H$8,E403)))</formula>
      <formula>$H$8</formula>
    </cfRule>
    <cfRule type="containsText" dxfId="1476" priority="2517" operator="containsText" text="$H$9">
      <formula>NOT(ISERROR(SEARCH($H$9,E403)))</formula>
      <formula>$H$9</formula>
    </cfRule>
    <cfRule type="containsText" dxfId="1475" priority="2516" operator="containsText" text="$H$10">
      <formula>NOT(ISERROR(SEARCH($H$10,E403)))</formula>
      <formula>$H$10</formula>
    </cfRule>
    <cfRule type="containsText" dxfId="1474" priority="2515" operator="containsText" text="$H$11">
      <formula>NOT(ISERROR(SEARCH($H$11,E403)))</formula>
      <formula>$H$11</formula>
    </cfRule>
    <cfRule type="containsText" dxfId="1473" priority="2514" operator="containsText" text="$H$12">
      <formula>NOT(ISERROR(SEARCH($H$12,E403)))</formula>
      <formula>$H$12</formula>
    </cfRule>
    <cfRule type="containsText" dxfId="1472" priority="2513" operator="containsText" text="$H$13">
      <formula>NOT(ISERROR(SEARCH($H$13,E403)))</formula>
      <formula>$H$13</formula>
    </cfRule>
  </conditionalFormatting>
  <conditionalFormatting sqref="E405">
    <cfRule type="containsText" dxfId="1471" priority="2512" operator="containsText" text="$H$7">
      <formula>NOT(ISERROR(SEARCH($H$7,E405)))</formula>
      <formula>$H$7</formula>
    </cfRule>
    <cfRule type="containsText" dxfId="1470" priority="2511" operator="containsText" text="$H$8">
      <formula>NOT(ISERROR(SEARCH($H$8,E405)))</formula>
      <formula>$H$8</formula>
    </cfRule>
    <cfRule type="containsText" dxfId="1469" priority="2510" operator="containsText" text="$H$8">
      <formula>NOT(ISERROR(SEARCH($H$8,E405)))</formula>
      <formula>$H$8</formula>
    </cfRule>
    <cfRule type="containsText" dxfId="1468" priority="2509" operator="containsText" text="$H$9">
      <formula>NOT(ISERROR(SEARCH($H$9,E405)))</formula>
      <formula>$H$9</formula>
    </cfRule>
    <cfRule type="containsText" dxfId="1467" priority="2508" operator="containsText" text="$H$10">
      <formula>NOT(ISERROR(SEARCH($H$10,E405)))</formula>
      <formula>$H$10</formula>
    </cfRule>
    <cfRule type="containsText" dxfId="1466" priority="2507" operator="containsText" text="$H$11">
      <formula>NOT(ISERROR(SEARCH($H$11,E405)))</formula>
      <formula>$H$11</formula>
    </cfRule>
    <cfRule type="containsText" dxfId="1465" priority="2506" operator="containsText" text="$H$12">
      <formula>NOT(ISERROR(SEARCH($H$12,E405)))</formula>
      <formula>$H$12</formula>
    </cfRule>
    <cfRule type="containsText" dxfId="1464" priority="2505" operator="containsText" text="$H$13">
      <formula>NOT(ISERROR(SEARCH($H$13,E405)))</formula>
      <formula>$H$13</formula>
    </cfRule>
  </conditionalFormatting>
  <conditionalFormatting sqref="E407">
    <cfRule type="containsText" dxfId="1463" priority="2504" operator="containsText" text="$H$7">
      <formula>NOT(ISERROR(SEARCH($H$7,E407)))</formula>
      <formula>$H$7</formula>
    </cfRule>
    <cfRule type="containsText" dxfId="1462" priority="2503" operator="containsText" text="$H$8">
      <formula>NOT(ISERROR(SEARCH($H$8,E407)))</formula>
      <formula>$H$8</formula>
    </cfRule>
    <cfRule type="containsText" dxfId="1461" priority="2502" operator="containsText" text="$H$8">
      <formula>NOT(ISERROR(SEARCH($H$8,E407)))</formula>
      <formula>$H$8</formula>
    </cfRule>
    <cfRule type="containsText" dxfId="1460" priority="2501" operator="containsText" text="$H$9">
      <formula>NOT(ISERROR(SEARCH($H$9,E407)))</formula>
      <formula>$H$9</formula>
    </cfRule>
    <cfRule type="containsText" dxfId="1459" priority="2500" operator="containsText" text="$H$10">
      <formula>NOT(ISERROR(SEARCH($H$10,E407)))</formula>
      <formula>$H$10</formula>
    </cfRule>
    <cfRule type="containsText" dxfId="1458" priority="2499" operator="containsText" text="$H$11">
      <formula>NOT(ISERROR(SEARCH($H$11,E407)))</formula>
      <formula>$H$11</formula>
    </cfRule>
    <cfRule type="containsText" dxfId="1457" priority="2498" operator="containsText" text="$H$12">
      <formula>NOT(ISERROR(SEARCH($H$12,E407)))</formula>
      <formula>$H$12</formula>
    </cfRule>
    <cfRule type="containsText" dxfId="1456" priority="2497" operator="containsText" text="$H$13">
      <formula>NOT(ISERROR(SEARCH($H$13,E407)))</formula>
      <formula>$H$13</formula>
    </cfRule>
  </conditionalFormatting>
  <conditionalFormatting sqref="E409">
    <cfRule type="containsText" dxfId="1455" priority="2496" operator="containsText" text="$H$7">
      <formula>NOT(ISERROR(SEARCH($H$7,E409)))</formula>
      <formula>$H$7</formula>
    </cfRule>
    <cfRule type="containsText" dxfId="1454" priority="2495" operator="containsText" text="$H$8">
      <formula>NOT(ISERROR(SEARCH($H$8,E409)))</formula>
      <formula>$H$8</formula>
    </cfRule>
    <cfRule type="containsText" dxfId="1453" priority="2494" operator="containsText" text="$H$8">
      <formula>NOT(ISERROR(SEARCH($H$8,E409)))</formula>
      <formula>$H$8</formula>
    </cfRule>
    <cfRule type="containsText" dxfId="1452" priority="2493" operator="containsText" text="$H$9">
      <formula>NOT(ISERROR(SEARCH($H$9,E409)))</formula>
      <formula>$H$9</formula>
    </cfRule>
    <cfRule type="containsText" dxfId="1451" priority="2492" operator="containsText" text="$H$10">
      <formula>NOT(ISERROR(SEARCH($H$10,E409)))</formula>
      <formula>$H$10</formula>
    </cfRule>
    <cfRule type="containsText" dxfId="1450" priority="2491" operator="containsText" text="$H$11">
      <formula>NOT(ISERROR(SEARCH($H$11,E409)))</formula>
      <formula>$H$11</formula>
    </cfRule>
    <cfRule type="containsText" dxfId="1449" priority="2490" operator="containsText" text="$H$12">
      <formula>NOT(ISERROR(SEARCH($H$12,E409)))</formula>
      <formula>$H$12</formula>
    </cfRule>
    <cfRule type="containsText" dxfId="1448" priority="2489" operator="containsText" text="$H$13">
      <formula>NOT(ISERROR(SEARCH($H$13,E409)))</formula>
      <formula>$H$13</formula>
    </cfRule>
  </conditionalFormatting>
  <conditionalFormatting sqref="B428">
    <cfRule type="containsText" dxfId="1447" priority="2488" operator="containsText" text="$H$7">
      <formula>NOT(ISERROR(SEARCH($H$7,B428)))</formula>
      <formula>$H$7</formula>
    </cfRule>
    <cfRule type="containsText" dxfId="1446" priority="2487" operator="containsText" text="$H$8">
      <formula>NOT(ISERROR(SEARCH($H$8,B428)))</formula>
      <formula>$H$8</formula>
    </cfRule>
    <cfRule type="containsText" dxfId="1445" priority="2486" operator="containsText" text="$H$8">
      <formula>NOT(ISERROR(SEARCH($H$8,B428)))</formula>
      <formula>$H$8</formula>
    </cfRule>
    <cfRule type="containsText" dxfId="1444" priority="2485" operator="containsText" text="$H$9">
      <formula>NOT(ISERROR(SEARCH($H$9,B428)))</formula>
      <formula>$H$9</formula>
    </cfRule>
    <cfRule type="containsText" dxfId="1443" priority="2484" operator="containsText" text="$H$10">
      <formula>NOT(ISERROR(SEARCH($H$10,B428)))</formula>
      <formula>$H$10</formula>
    </cfRule>
    <cfRule type="containsText" dxfId="1442" priority="2483" operator="containsText" text="$H$11">
      <formula>NOT(ISERROR(SEARCH($H$11,B428)))</formula>
      <formula>$H$11</formula>
    </cfRule>
    <cfRule type="containsText" dxfId="1441" priority="2482" operator="containsText" text="$H$12">
      <formula>NOT(ISERROR(SEARCH($H$12,B428)))</formula>
      <formula>$H$12</formula>
    </cfRule>
    <cfRule type="containsText" dxfId="1440" priority="2481" operator="containsText" text="$H$13">
      <formula>NOT(ISERROR(SEARCH($H$13,B428)))</formula>
      <formula>$H$13</formula>
    </cfRule>
  </conditionalFormatting>
  <conditionalFormatting sqref="B430">
    <cfRule type="containsText" dxfId="1439" priority="2480" operator="containsText" text="$H$7">
      <formula>NOT(ISERROR(SEARCH($H$7,B430)))</formula>
      <formula>$H$7</formula>
    </cfRule>
    <cfRule type="containsText" dxfId="1438" priority="2479" operator="containsText" text="$H$8">
      <formula>NOT(ISERROR(SEARCH($H$8,B430)))</formula>
      <formula>$H$8</formula>
    </cfRule>
    <cfRule type="containsText" dxfId="1437" priority="2478" operator="containsText" text="$H$8">
      <formula>NOT(ISERROR(SEARCH($H$8,B430)))</formula>
      <formula>$H$8</formula>
    </cfRule>
    <cfRule type="containsText" dxfId="1436" priority="2477" operator="containsText" text="$H$9">
      <formula>NOT(ISERROR(SEARCH($H$9,B430)))</formula>
      <formula>$H$9</formula>
    </cfRule>
    <cfRule type="containsText" dxfId="1435" priority="2476" operator="containsText" text="$H$10">
      <formula>NOT(ISERROR(SEARCH($H$10,B430)))</formula>
      <formula>$H$10</formula>
    </cfRule>
    <cfRule type="containsText" dxfId="1434" priority="2475" operator="containsText" text="$H$11">
      <formula>NOT(ISERROR(SEARCH($H$11,B430)))</formula>
      <formula>$H$11</formula>
    </cfRule>
    <cfRule type="containsText" dxfId="1433" priority="2474" operator="containsText" text="$H$12">
      <formula>NOT(ISERROR(SEARCH($H$12,B430)))</formula>
      <formula>$H$12</formula>
    </cfRule>
    <cfRule type="containsText" dxfId="1432" priority="2473" operator="containsText" text="$H$13">
      <formula>NOT(ISERROR(SEARCH($H$13,B430)))</formula>
      <formula>$H$13</formula>
    </cfRule>
  </conditionalFormatting>
  <conditionalFormatting sqref="B432">
    <cfRule type="containsText" dxfId="1431" priority="2472" operator="containsText" text="$H$7">
      <formula>NOT(ISERROR(SEARCH($H$7,B432)))</formula>
      <formula>$H$7</formula>
    </cfRule>
    <cfRule type="containsText" dxfId="1430" priority="2471" operator="containsText" text="$H$8">
      <formula>NOT(ISERROR(SEARCH($H$8,B432)))</formula>
      <formula>$H$8</formula>
    </cfRule>
    <cfRule type="containsText" dxfId="1429" priority="2470" operator="containsText" text="$H$8">
      <formula>NOT(ISERROR(SEARCH($H$8,B432)))</formula>
      <formula>$H$8</formula>
    </cfRule>
    <cfRule type="containsText" dxfId="1428" priority="2469" operator="containsText" text="$H$9">
      <formula>NOT(ISERROR(SEARCH($H$9,B432)))</formula>
      <formula>$H$9</formula>
    </cfRule>
    <cfRule type="containsText" dxfId="1427" priority="2468" operator="containsText" text="$H$10">
      <formula>NOT(ISERROR(SEARCH($H$10,B432)))</formula>
      <formula>$H$10</formula>
    </cfRule>
    <cfRule type="containsText" dxfId="1426" priority="2467" operator="containsText" text="$H$11">
      <formula>NOT(ISERROR(SEARCH($H$11,B432)))</formula>
      <formula>$H$11</formula>
    </cfRule>
    <cfRule type="containsText" dxfId="1425" priority="2466" operator="containsText" text="$H$12">
      <formula>NOT(ISERROR(SEARCH($H$12,B432)))</formula>
      <formula>$H$12</formula>
    </cfRule>
    <cfRule type="containsText" dxfId="1424" priority="2465" operator="containsText" text="$H$13">
      <formula>NOT(ISERROR(SEARCH($H$13,B432)))</formula>
      <formula>$H$13</formula>
    </cfRule>
  </conditionalFormatting>
  <conditionalFormatting sqref="B434">
    <cfRule type="containsText" dxfId="1423" priority="2464" operator="containsText" text="$H$7">
      <formula>NOT(ISERROR(SEARCH($H$7,B434)))</formula>
      <formula>$H$7</formula>
    </cfRule>
    <cfRule type="containsText" dxfId="1422" priority="2463" operator="containsText" text="$H$8">
      <formula>NOT(ISERROR(SEARCH($H$8,B434)))</formula>
      <formula>$H$8</formula>
    </cfRule>
    <cfRule type="containsText" dxfId="1421" priority="2462" operator="containsText" text="$H$8">
      <formula>NOT(ISERROR(SEARCH($H$8,B434)))</formula>
      <formula>$H$8</formula>
    </cfRule>
    <cfRule type="containsText" dxfId="1420" priority="2461" operator="containsText" text="$H$9">
      <formula>NOT(ISERROR(SEARCH($H$9,B434)))</formula>
      <formula>$H$9</formula>
    </cfRule>
    <cfRule type="containsText" dxfId="1419" priority="2460" operator="containsText" text="$H$10">
      <formula>NOT(ISERROR(SEARCH($H$10,B434)))</formula>
      <formula>$H$10</formula>
    </cfRule>
    <cfRule type="containsText" dxfId="1418" priority="2459" operator="containsText" text="$H$11">
      <formula>NOT(ISERROR(SEARCH($H$11,B434)))</formula>
      <formula>$H$11</formula>
    </cfRule>
    <cfRule type="containsText" dxfId="1417" priority="2458" operator="containsText" text="$H$12">
      <formula>NOT(ISERROR(SEARCH($H$12,B434)))</formula>
      <formula>$H$12</formula>
    </cfRule>
    <cfRule type="containsText" dxfId="1416" priority="2457" operator="containsText" text="$H$13">
      <formula>NOT(ISERROR(SEARCH($H$13,B434)))</formula>
      <formula>$H$13</formula>
    </cfRule>
  </conditionalFormatting>
  <conditionalFormatting sqref="B429">
    <cfRule type="containsText" dxfId="1415" priority="2456" operator="containsText" text="$H$7">
      <formula>NOT(ISERROR(SEARCH($H$7,B429)))</formula>
      <formula>$H$7</formula>
    </cfRule>
    <cfRule type="containsText" dxfId="1414" priority="2455" operator="containsText" text="$H$8">
      <formula>NOT(ISERROR(SEARCH($H$8,B429)))</formula>
      <formula>$H$8</formula>
    </cfRule>
    <cfRule type="containsText" dxfId="1413" priority="2454" operator="containsText" text="$H$8">
      <formula>NOT(ISERROR(SEARCH($H$8,B429)))</formula>
      <formula>$H$8</formula>
    </cfRule>
    <cfRule type="containsText" dxfId="1412" priority="2453" operator="containsText" text="$H$9">
      <formula>NOT(ISERROR(SEARCH($H$9,B429)))</formula>
      <formula>$H$9</formula>
    </cfRule>
    <cfRule type="containsText" dxfId="1411" priority="2452" operator="containsText" text="$H$10">
      <formula>NOT(ISERROR(SEARCH($H$10,B429)))</formula>
      <formula>$H$10</formula>
    </cfRule>
    <cfRule type="containsText" dxfId="1410" priority="2451" operator="containsText" text="$H$11">
      <formula>NOT(ISERROR(SEARCH($H$11,B429)))</formula>
      <formula>$H$11</formula>
    </cfRule>
    <cfRule type="containsText" dxfId="1409" priority="2450" operator="containsText" text="$H$12">
      <formula>NOT(ISERROR(SEARCH($H$12,B429)))</formula>
      <formula>$H$12</formula>
    </cfRule>
    <cfRule type="containsText" dxfId="1408" priority="2449" operator="containsText" text="$H$13">
      <formula>NOT(ISERROR(SEARCH($H$13,B429)))</formula>
      <formula>$H$13</formula>
    </cfRule>
  </conditionalFormatting>
  <conditionalFormatting sqref="B431">
    <cfRule type="containsText" dxfId="1407" priority="2448" operator="containsText" text="$H$7">
      <formula>NOT(ISERROR(SEARCH($H$7,B431)))</formula>
      <formula>$H$7</formula>
    </cfRule>
    <cfRule type="containsText" dxfId="1406" priority="2447" operator="containsText" text="$H$8">
      <formula>NOT(ISERROR(SEARCH($H$8,B431)))</formula>
      <formula>$H$8</formula>
    </cfRule>
    <cfRule type="containsText" dxfId="1405" priority="2446" operator="containsText" text="$H$8">
      <formula>NOT(ISERROR(SEARCH($H$8,B431)))</formula>
      <formula>$H$8</formula>
    </cfRule>
    <cfRule type="containsText" dxfId="1404" priority="2445" operator="containsText" text="$H$9">
      <formula>NOT(ISERROR(SEARCH($H$9,B431)))</formula>
      <formula>$H$9</formula>
    </cfRule>
    <cfRule type="containsText" dxfId="1403" priority="2444" operator="containsText" text="$H$10">
      <formula>NOT(ISERROR(SEARCH($H$10,B431)))</formula>
      <formula>$H$10</formula>
    </cfRule>
    <cfRule type="containsText" dxfId="1402" priority="2443" operator="containsText" text="$H$11">
      <formula>NOT(ISERROR(SEARCH($H$11,B431)))</formula>
      <formula>$H$11</formula>
    </cfRule>
    <cfRule type="containsText" dxfId="1401" priority="2442" operator="containsText" text="$H$12">
      <formula>NOT(ISERROR(SEARCH($H$12,B431)))</formula>
      <formula>$H$12</formula>
    </cfRule>
    <cfRule type="containsText" dxfId="1400" priority="2441" operator="containsText" text="$H$13">
      <formula>NOT(ISERROR(SEARCH($H$13,B431)))</formula>
      <formula>$H$13</formula>
    </cfRule>
  </conditionalFormatting>
  <conditionalFormatting sqref="B433">
    <cfRule type="containsText" dxfId="1399" priority="2440" operator="containsText" text="$H$7">
      <formula>NOT(ISERROR(SEARCH($H$7,B433)))</formula>
      <formula>$H$7</formula>
    </cfRule>
    <cfRule type="containsText" dxfId="1398" priority="2439" operator="containsText" text="$H$8">
      <formula>NOT(ISERROR(SEARCH($H$8,B433)))</formula>
      <formula>$H$8</formula>
    </cfRule>
    <cfRule type="containsText" dxfId="1397" priority="2438" operator="containsText" text="$H$8">
      <formula>NOT(ISERROR(SEARCH($H$8,B433)))</formula>
      <formula>$H$8</formula>
    </cfRule>
    <cfRule type="containsText" dxfId="1396" priority="2437" operator="containsText" text="$H$9">
      <formula>NOT(ISERROR(SEARCH($H$9,B433)))</formula>
      <formula>$H$9</formula>
    </cfRule>
    <cfRule type="containsText" dxfId="1395" priority="2436" operator="containsText" text="$H$10">
      <formula>NOT(ISERROR(SEARCH($H$10,B433)))</formula>
      <formula>$H$10</formula>
    </cfRule>
    <cfRule type="containsText" dxfId="1394" priority="2435" operator="containsText" text="$H$11">
      <formula>NOT(ISERROR(SEARCH($H$11,B433)))</formula>
      <formula>$H$11</formula>
    </cfRule>
    <cfRule type="containsText" dxfId="1393" priority="2434" operator="containsText" text="$H$12">
      <formula>NOT(ISERROR(SEARCH($H$12,B433)))</formula>
      <formula>$H$12</formula>
    </cfRule>
    <cfRule type="containsText" dxfId="1392" priority="2433" operator="containsText" text="$H$13">
      <formula>NOT(ISERROR(SEARCH($H$13,B433)))</formula>
      <formula>$H$13</formula>
    </cfRule>
  </conditionalFormatting>
  <conditionalFormatting sqref="B435">
    <cfRule type="containsText" dxfId="1391" priority="2432" operator="containsText" text="$H$7">
      <formula>NOT(ISERROR(SEARCH($H$7,B435)))</formula>
      <formula>$H$7</formula>
    </cfRule>
    <cfRule type="containsText" dxfId="1390" priority="2431" operator="containsText" text="$H$8">
      <formula>NOT(ISERROR(SEARCH($H$8,B435)))</formula>
      <formula>$H$8</formula>
    </cfRule>
    <cfRule type="containsText" dxfId="1389" priority="2430" operator="containsText" text="$H$8">
      <formula>NOT(ISERROR(SEARCH($H$8,B435)))</formula>
      <formula>$H$8</formula>
    </cfRule>
    <cfRule type="containsText" dxfId="1388" priority="2429" operator="containsText" text="$H$9">
      <formula>NOT(ISERROR(SEARCH($H$9,B435)))</formula>
      <formula>$H$9</formula>
    </cfRule>
    <cfRule type="containsText" dxfId="1387" priority="2428" operator="containsText" text="$H$10">
      <formula>NOT(ISERROR(SEARCH($H$10,B435)))</formula>
      <formula>$H$10</formula>
    </cfRule>
    <cfRule type="containsText" dxfId="1386" priority="2427" operator="containsText" text="$H$11">
      <formula>NOT(ISERROR(SEARCH($H$11,B435)))</formula>
      <formula>$H$11</formula>
    </cfRule>
    <cfRule type="containsText" dxfId="1385" priority="2426" operator="containsText" text="$H$12">
      <formula>NOT(ISERROR(SEARCH($H$12,B435)))</formula>
      <formula>$H$12</formula>
    </cfRule>
    <cfRule type="containsText" dxfId="1384" priority="2425" operator="containsText" text="$H$13">
      <formula>NOT(ISERROR(SEARCH($H$13,B435)))</formula>
      <formula>$H$13</formula>
    </cfRule>
  </conditionalFormatting>
  <conditionalFormatting sqref="B446">
    <cfRule type="containsText" dxfId="1383" priority="2424" operator="containsText" text="$H$7">
      <formula>NOT(ISERROR(SEARCH($H$7,B446)))</formula>
      <formula>$H$7</formula>
    </cfRule>
    <cfRule type="containsText" dxfId="1382" priority="2423" operator="containsText" text="$H$8">
      <formula>NOT(ISERROR(SEARCH($H$8,B446)))</formula>
      <formula>$H$8</formula>
    </cfRule>
    <cfRule type="containsText" dxfId="1381" priority="2422" operator="containsText" text="$H$8">
      <formula>NOT(ISERROR(SEARCH($H$8,B446)))</formula>
      <formula>$H$8</formula>
    </cfRule>
    <cfRule type="containsText" dxfId="1380" priority="2421" operator="containsText" text="$H$9">
      <formula>NOT(ISERROR(SEARCH($H$9,B446)))</formula>
      <formula>$H$9</formula>
    </cfRule>
    <cfRule type="containsText" dxfId="1379" priority="2420" operator="containsText" text="$H$10">
      <formula>NOT(ISERROR(SEARCH($H$10,B446)))</formula>
      <formula>$H$10</formula>
    </cfRule>
    <cfRule type="containsText" dxfId="1378" priority="2419" operator="containsText" text="$H$11">
      <formula>NOT(ISERROR(SEARCH($H$11,B446)))</formula>
      <formula>$H$11</formula>
    </cfRule>
    <cfRule type="containsText" dxfId="1377" priority="2418" operator="containsText" text="$H$12">
      <formula>NOT(ISERROR(SEARCH($H$12,B446)))</formula>
      <formula>$H$12</formula>
    </cfRule>
    <cfRule type="containsText" dxfId="1376" priority="2417" operator="containsText" text="$H$13">
      <formula>NOT(ISERROR(SEARCH($H$13,B446)))</formula>
      <formula>$H$13</formula>
    </cfRule>
  </conditionalFormatting>
  <conditionalFormatting sqref="B448">
    <cfRule type="containsText" dxfId="1375" priority="2416" operator="containsText" text="$H$7">
      <formula>NOT(ISERROR(SEARCH($H$7,B448)))</formula>
      <formula>$H$7</formula>
    </cfRule>
    <cfRule type="containsText" dxfId="1374" priority="2415" operator="containsText" text="$H$8">
      <formula>NOT(ISERROR(SEARCH($H$8,B448)))</formula>
      <formula>$H$8</formula>
    </cfRule>
    <cfRule type="containsText" dxfId="1373" priority="2414" operator="containsText" text="$H$8">
      <formula>NOT(ISERROR(SEARCH($H$8,B448)))</formula>
      <formula>$H$8</formula>
    </cfRule>
    <cfRule type="containsText" dxfId="1372" priority="2413" operator="containsText" text="$H$9">
      <formula>NOT(ISERROR(SEARCH($H$9,B448)))</formula>
      <formula>$H$9</formula>
    </cfRule>
    <cfRule type="containsText" dxfId="1371" priority="2412" operator="containsText" text="$H$10">
      <formula>NOT(ISERROR(SEARCH($H$10,B448)))</formula>
      <formula>$H$10</formula>
    </cfRule>
    <cfRule type="containsText" dxfId="1370" priority="2411" operator="containsText" text="$H$11">
      <formula>NOT(ISERROR(SEARCH($H$11,B448)))</formula>
      <formula>$H$11</formula>
    </cfRule>
    <cfRule type="containsText" dxfId="1369" priority="2410" operator="containsText" text="$H$12">
      <formula>NOT(ISERROR(SEARCH($H$12,B448)))</formula>
      <formula>$H$12</formula>
    </cfRule>
    <cfRule type="containsText" dxfId="1368" priority="2409" operator="containsText" text="$H$13">
      <formula>NOT(ISERROR(SEARCH($H$13,B448)))</formula>
      <formula>$H$13</formula>
    </cfRule>
  </conditionalFormatting>
  <conditionalFormatting sqref="B450">
    <cfRule type="containsText" dxfId="1367" priority="2408" operator="containsText" text="$H$7">
      <formula>NOT(ISERROR(SEARCH($H$7,B450)))</formula>
      <formula>$H$7</formula>
    </cfRule>
    <cfRule type="containsText" dxfId="1366" priority="2407" operator="containsText" text="$H$8">
      <formula>NOT(ISERROR(SEARCH($H$8,B450)))</formula>
      <formula>$H$8</formula>
    </cfRule>
    <cfRule type="containsText" dxfId="1365" priority="2406" operator="containsText" text="$H$8">
      <formula>NOT(ISERROR(SEARCH($H$8,B450)))</formula>
      <formula>$H$8</formula>
    </cfRule>
    <cfRule type="containsText" dxfId="1364" priority="2405" operator="containsText" text="$H$9">
      <formula>NOT(ISERROR(SEARCH($H$9,B450)))</formula>
      <formula>$H$9</formula>
    </cfRule>
    <cfRule type="containsText" dxfId="1363" priority="2404" operator="containsText" text="$H$10">
      <formula>NOT(ISERROR(SEARCH($H$10,B450)))</formula>
      <formula>$H$10</formula>
    </cfRule>
    <cfRule type="containsText" dxfId="1362" priority="2403" operator="containsText" text="$H$11">
      <formula>NOT(ISERROR(SEARCH($H$11,B450)))</formula>
      <formula>$H$11</formula>
    </cfRule>
    <cfRule type="containsText" dxfId="1361" priority="2402" operator="containsText" text="$H$12">
      <formula>NOT(ISERROR(SEARCH($H$12,B450)))</formula>
      <formula>$H$12</formula>
    </cfRule>
    <cfRule type="containsText" dxfId="1360" priority="2401" operator="containsText" text="$H$13">
      <formula>NOT(ISERROR(SEARCH($H$13,B450)))</formula>
      <formula>$H$13</formula>
    </cfRule>
  </conditionalFormatting>
  <conditionalFormatting sqref="B452">
    <cfRule type="containsText" dxfId="1359" priority="2400" operator="containsText" text="$H$7">
      <formula>NOT(ISERROR(SEARCH($H$7,B452)))</formula>
      <formula>$H$7</formula>
    </cfRule>
    <cfRule type="containsText" dxfId="1358" priority="2399" operator="containsText" text="$H$8">
      <formula>NOT(ISERROR(SEARCH($H$8,B452)))</formula>
      <formula>$H$8</formula>
    </cfRule>
    <cfRule type="containsText" dxfId="1357" priority="2398" operator="containsText" text="$H$8">
      <formula>NOT(ISERROR(SEARCH($H$8,B452)))</formula>
      <formula>$H$8</formula>
    </cfRule>
    <cfRule type="containsText" dxfId="1356" priority="2397" operator="containsText" text="$H$9">
      <formula>NOT(ISERROR(SEARCH($H$9,B452)))</formula>
      <formula>$H$9</formula>
    </cfRule>
    <cfRule type="containsText" dxfId="1355" priority="2396" operator="containsText" text="$H$10">
      <formula>NOT(ISERROR(SEARCH($H$10,B452)))</formula>
      <formula>$H$10</formula>
    </cfRule>
    <cfRule type="containsText" dxfId="1354" priority="2395" operator="containsText" text="$H$11">
      <formula>NOT(ISERROR(SEARCH($H$11,B452)))</formula>
      <formula>$H$11</formula>
    </cfRule>
    <cfRule type="containsText" dxfId="1353" priority="2394" operator="containsText" text="$H$12">
      <formula>NOT(ISERROR(SEARCH($H$12,B452)))</formula>
      <formula>$H$12</formula>
    </cfRule>
    <cfRule type="containsText" dxfId="1352" priority="2393" operator="containsText" text="$H$13">
      <formula>NOT(ISERROR(SEARCH($H$13,B452)))</formula>
      <formula>$H$13</formula>
    </cfRule>
  </conditionalFormatting>
  <conditionalFormatting sqref="B447">
    <cfRule type="containsText" dxfId="1351" priority="2392" operator="containsText" text="$H$7">
      <formula>NOT(ISERROR(SEARCH($H$7,B447)))</formula>
      <formula>$H$7</formula>
    </cfRule>
    <cfRule type="containsText" dxfId="1350" priority="2391" operator="containsText" text="$H$8">
      <formula>NOT(ISERROR(SEARCH($H$8,B447)))</formula>
      <formula>$H$8</formula>
    </cfRule>
    <cfRule type="containsText" dxfId="1349" priority="2390" operator="containsText" text="$H$8">
      <formula>NOT(ISERROR(SEARCH($H$8,B447)))</formula>
      <formula>$H$8</formula>
    </cfRule>
    <cfRule type="containsText" dxfId="1348" priority="2389" operator="containsText" text="$H$9">
      <formula>NOT(ISERROR(SEARCH($H$9,B447)))</formula>
      <formula>$H$9</formula>
    </cfRule>
    <cfRule type="containsText" dxfId="1347" priority="2388" operator="containsText" text="$H$10">
      <formula>NOT(ISERROR(SEARCH($H$10,B447)))</formula>
      <formula>$H$10</formula>
    </cfRule>
    <cfRule type="containsText" dxfId="1346" priority="2387" operator="containsText" text="$H$11">
      <formula>NOT(ISERROR(SEARCH($H$11,B447)))</formula>
      <formula>$H$11</formula>
    </cfRule>
    <cfRule type="containsText" dxfId="1345" priority="2386" operator="containsText" text="$H$12">
      <formula>NOT(ISERROR(SEARCH($H$12,B447)))</formula>
      <formula>$H$12</formula>
    </cfRule>
    <cfRule type="containsText" dxfId="1344" priority="2385" operator="containsText" text="$H$13">
      <formula>NOT(ISERROR(SEARCH($H$13,B447)))</formula>
      <formula>$H$13</formula>
    </cfRule>
  </conditionalFormatting>
  <conditionalFormatting sqref="B449">
    <cfRule type="containsText" dxfId="1343" priority="2384" operator="containsText" text="$H$7">
      <formula>NOT(ISERROR(SEARCH($H$7,B449)))</formula>
      <formula>$H$7</formula>
    </cfRule>
    <cfRule type="containsText" dxfId="1342" priority="2383" operator="containsText" text="$H$8">
      <formula>NOT(ISERROR(SEARCH($H$8,B449)))</formula>
      <formula>$H$8</formula>
    </cfRule>
    <cfRule type="containsText" dxfId="1341" priority="2382" operator="containsText" text="$H$8">
      <formula>NOT(ISERROR(SEARCH($H$8,B449)))</formula>
      <formula>$H$8</formula>
    </cfRule>
    <cfRule type="containsText" dxfId="1340" priority="2381" operator="containsText" text="$H$9">
      <formula>NOT(ISERROR(SEARCH($H$9,B449)))</formula>
      <formula>$H$9</formula>
    </cfRule>
    <cfRule type="containsText" dxfId="1339" priority="2380" operator="containsText" text="$H$10">
      <formula>NOT(ISERROR(SEARCH($H$10,B449)))</formula>
      <formula>$H$10</formula>
    </cfRule>
    <cfRule type="containsText" dxfId="1338" priority="2379" operator="containsText" text="$H$11">
      <formula>NOT(ISERROR(SEARCH($H$11,B449)))</formula>
      <formula>$H$11</formula>
    </cfRule>
    <cfRule type="containsText" dxfId="1337" priority="2378" operator="containsText" text="$H$12">
      <formula>NOT(ISERROR(SEARCH($H$12,B449)))</formula>
      <formula>$H$12</formula>
    </cfRule>
    <cfRule type="containsText" dxfId="1336" priority="2377" operator="containsText" text="$H$13">
      <formula>NOT(ISERROR(SEARCH($H$13,B449)))</formula>
      <formula>$H$13</formula>
    </cfRule>
  </conditionalFormatting>
  <conditionalFormatting sqref="B451">
    <cfRule type="containsText" dxfId="1335" priority="2376" operator="containsText" text="$H$7">
      <formula>NOT(ISERROR(SEARCH($H$7,B451)))</formula>
      <formula>$H$7</formula>
    </cfRule>
    <cfRule type="containsText" dxfId="1334" priority="2375" operator="containsText" text="$H$8">
      <formula>NOT(ISERROR(SEARCH($H$8,B451)))</formula>
      <formula>$H$8</formula>
    </cfRule>
    <cfRule type="containsText" dxfId="1333" priority="2374" operator="containsText" text="$H$8">
      <formula>NOT(ISERROR(SEARCH($H$8,B451)))</formula>
      <formula>$H$8</formula>
    </cfRule>
    <cfRule type="containsText" dxfId="1332" priority="2373" operator="containsText" text="$H$9">
      <formula>NOT(ISERROR(SEARCH($H$9,B451)))</formula>
      <formula>$H$9</formula>
    </cfRule>
    <cfRule type="containsText" dxfId="1331" priority="2372" operator="containsText" text="$H$10">
      <formula>NOT(ISERROR(SEARCH($H$10,B451)))</formula>
      <formula>$H$10</formula>
    </cfRule>
    <cfRule type="containsText" dxfId="1330" priority="2371" operator="containsText" text="$H$11">
      <formula>NOT(ISERROR(SEARCH($H$11,B451)))</formula>
      <formula>$H$11</formula>
    </cfRule>
    <cfRule type="containsText" dxfId="1329" priority="2370" operator="containsText" text="$H$12">
      <formula>NOT(ISERROR(SEARCH($H$12,B451)))</formula>
      <formula>$H$12</formula>
    </cfRule>
    <cfRule type="containsText" dxfId="1328" priority="2369" operator="containsText" text="$H$13">
      <formula>NOT(ISERROR(SEARCH($H$13,B451)))</formula>
      <formula>$H$13</formula>
    </cfRule>
  </conditionalFormatting>
  <conditionalFormatting sqref="B453">
    <cfRule type="containsText" dxfId="1327" priority="2368" operator="containsText" text="$H$7">
      <formula>NOT(ISERROR(SEARCH($H$7,B453)))</formula>
      <formula>$H$7</formula>
    </cfRule>
    <cfRule type="containsText" dxfId="1326" priority="2367" operator="containsText" text="$H$8">
      <formula>NOT(ISERROR(SEARCH($H$8,B453)))</formula>
      <formula>$H$8</formula>
    </cfRule>
    <cfRule type="containsText" dxfId="1325" priority="2366" operator="containsText" text="$H$8">
      <formula>NOT(ISERROR(SEARCH($H$8,B453)))</formula>
      <formula>$H$8</formula>
    </cfRule>
    <cfRule type="containsText" dxfId="1324" priority="2365" operator="containsText" text="$H$9">
      <formula>NOT(ISERROR(SEARCH($H$9,B453)))</formula>
      <formula>$H$9</formula>
    </cfRule>
    <cfRule type="containsText" dxfId="1323" priority="2364" operator="containsText" text="$H$10">
      <formula>NOT(ISERROR(SEARCH($H$10,B453)))</formula>
      <formula>$H$10</formula>
    </cfRule>
    <cfRule type="containsText" dxfId="1322" priority="2363" operator="containsText" text="$H$11">
      <formula>NOT(ISERROR(SEARCH($H$11,B453)))</formula>
      <formula>$H$11</formula>
    </cfRule>
    <cfRule type="containsText" dxfId="1321" priority="2362" operator="containsText" text="$H$12">
      <formula>NOT(ISERROR(SEARCH($H$12,B453)))</formula>
      <formula>$H$12</formula>
    </cfRule>
    <cfRule type="containsText" dxfId="1320" priority="2361" operator="containsText" text="$H$13">
      <formula>NOT(ISERROR(SEARCH($H$13,B453)))</formula>
      <formula>$H$13</formula>
    </cfRule>
  </conditionalFormatting>
  <conditionalFormatting sqref="B392">
    <cfRule type="containsText" dxfId="1319" priority="2360" operator="containsText" text="$H$7">
      <formula>NOT(ISERROR(SEARCH($H$7,B392)))</formula>
      <formula>$H$7</formula>
    </cfRule>
    <cfRule type="containsText" dxfId="1318" priority="2359" operator="containsText" text="$H$8">
      <formula>NOT(ISERROR(SEARCH($H$8,B392)))</formula>
      <formula>$H$8</formula>
    </cfRule>
    <cfRule type="containsText" dxfId="1317" priority="2358" operator="containsText" text="$H$8">
      <formula>NOT(ISERROR(SEARCH($H$8,B392)))</formula>
      <formula>$H$8</formula>
    </cfRule>
    <cfRule type="containsText" dxfId="1316" priority="2357" operator="containsText" text="$H$9">
      <formula>NOT(ISERROR(SEARCH($H$9,B392)))</formula>
      <formula>$H$9</formula>
    </cfRule>
    <cfRule type="containsText" dxfId="1315" priority="2356" operator="containsText" text="$H$10">
      <formula>NOT(ISERROR(SEARCH($H$10,B392)))</formula>
      <formula>$H$10</formula>
    </cfRule>
    <cfRule type="containsText" dxfId="1314" priority="2355" operator="containsText" text="$H$11">
      <formula>NOT(ISERROR(SEARCH($H$11,B392)))</formula>
      <formula>$H$11</formula>
    </cfRule>
    <cfRule type="containsText" dxfId="1313" priority="2354" operator="containsText" text="$H$12">
      <formula>NOT(ISERROR(SEARCH($H$12,B392)))</formula>
      <formula>$H$12</formula>
    </cfRule>
    <cfRule type="containsText" dxfId="1312" priority="2353" operator="containsText" text="$H$13">
      <formula>NOT(ISERROR(SEARCH($H$13,B392)))</formula>
      <formula>$H$13</formula>
    </cfRule>
  </conditionalFormatting>
  <conditionalFormatting sqref="B392">
    <cfRule type="containsText" dxfId="1311" priority="2352" operator="containsText" text="$H$7">
      <formula>NOT(ISERROR(SEARCH($H$7,B392)))</formula>
      <formula>$H$7</formula>
    </cfRule>
    <cfRule type="containsText" dxfId="1310" priority="2351" operator="containsText" text="$H$8">
      <formula>NOT(ISERROR(SEARCH($H$8,B392)))</formula>
      <formula>$H$8</formula>
    </cfRule>
    <cfRule type="containsText" dxfId="1309" priority="2350" operator="containsText" text="$H$8">
      <formula>NOT(ISERROR(SEARCH($H$8,B392)))</formula>
      <formula>$H$8</formula>
    </cfRule>
    <cfRule type="containsText" dxfId="1308" priority="2349" operator="containsText" text="$H$9">
      <formula>NOT(ISERROR(SEARCH($H$9,B392)))</formula>
      <formula>$H$9</formula>
    </cfRule>
    <cfRule type="containsText" dxfId="1307" priority="2348" operator="containsText" text="$H$10">
      <formula>NOT(ISERROR(SEARCH($H$10,B392)))</formula>
      <formula>$H$10</formula>
    </cfRule>
    <cfRule type="containsText" dxfId="1306" priority="2347" operator="containsText" text="$H$11">
      <formula>NOT(ISERROR(SEARCH($H$11,B392)))</formula>
      <formula>$H$11</formula>
    </cfRule>
    <cfRule type="containsText" dxfId="1305" priority="2346" operator="containsText" text="$H$12">
      <formula>NOT(ISERROR(SEARCH($H$12,B392)))</formula>
      <formula>$H$12</formula>
    </cfRule>
    <cfRule type="containsText" dxfId="1304" priority="2345" operator="containsText" text="$H$13">
      <formula>NOT(ISERROR(SEARCH($H$13,B392)))</formula>
      <formula>$H$13</formula>
    </cfRule>
  </conditionalFormatting>
  <conditionalFormatting sqref="B393">
    <cfRule type="containsText" dxfId="1303" priority="2344" operator="containsText" text="$H$7">
      <formula>NOT(ISERROR(SEARCH($H$7,B393)))</formula>
      <formula>$H$7</formula>
    </cfRule>
    <cfRule type="containsText" dxfId="1302" priority="2343" operator="containsText" text="$H$8">
      <formula>NOT(ISERROR(SEARCH($H$8,B393)))</formula>
      <formula>$H$8</formula>
    </cfRule>
    <cfRule type="containsText" dxfId="1301" priority="2342" operator="containsText" text="$H$8">
      <formula>NOT(ISERROR(SEARCH($H$8,B393)))</formula>
      <formula>$H$8</formula>
    </cfRule>
    <cfRule type="containsText" dxfId="1300" priority="2341" operator="containsText" text="$H$9">
      <formula>NOT(ISERROR(SEARCH($H$9,B393)))</formula>
      <formula>$H$9</formula>
    </cfRule>
    <cfRule type="containsText" dxfId="1299" priority="2340" operator="containsText" text="$H$10">
      <formula>NOT(ISERROR(SEARCH($H$10,B393)))</formula>
      <formula>$H$10</formula>
    </cfRule>
    <cfRule type="containsText" dxfId="1298" priority="2339" operator="containsText" text="$H$11">
      <formula>NOT(ISERROR(SEARCH($H$11,B393)))</formula>
      <formula>$H$11</formula>
    </cfRule>
    <cfRule type="containsText" dxfId="1297" priority="2338" operator="containsText" text="$H$12">
      <formula>NOT(ISERROR(SEARCH($H$12,B393)))</formula>
      <formula>$H$12</formula>
    </cfRule>
    <cfRule type="containsText" dxfId="1296" priority="2337" operator="containsText" text="$H$13">
      <formula>NOT(ISERROR(SEARCH($H$13,B393)))</formula>
      <formula>$H$13</formula>
    </cfRule>
  </conditionalFormatting>
  <conditionalFormatting sqref="B393">
    <cfRule type="containsText" dxfId="1295" priority="2336" operator="containsText" text="$H$7">
      <formula>NOT(ISERROR(SEARCH($H$7,B393)))</formula>
      <formula>$H$7</formula>
    </cfRule>
    <cfRule type="containsText" dxfId="1294" priority="2335" operator="containsText" text="$H$8">
      <formula>NOT(ISERROR(SEARCH($H$8,B393)))</formula>
      <formula>$H$8</formula>
    </cfRule>
    <cfRule type="containsText" dxfId="1293" priority="2334" operator="containsText" text="$H$8">
      <formula>NOT(ISERROR(SEARCH($H$8,B393)))</formula>
      <formula>$H$8</formula>
    </cfRule>
    <cfRule type="containsText" dxfId="1292" priority="2333" operator="containsText" text="$H$9">
      <formula>NOT(ISERROR(SEARCH($H$9,B393)))</formula>
      <formula>$H$9</formula>
    </cfRule>
    <cfRule type="containsText" dxfId="1291" priority="2332" operator="containsText" text="$H$10">
      <formula>NOT(ISERROR(SEARCH($H$10,B393)))</formula>
      <formula>$H$10</formula>
    </cfRule>
    <cfRule type="containsText" dxfId="1290" priority="2331" operator="containsText" text="$H$11">
      <formula>NOT(ISERROR(SEARCH($H$11,B393)))</formula>
      <formula>$H$11</formula>
    </cfRule>
    <cfRule type="containsText" dxfId="1289" priority="2330" operator="containsText" text="$H$12">
      <formula>NOT(ISERROR(SEARCH($H$12,B393)))</formula>
      <formula>$H$12</formula>
    </cfRule>
    <cfRule type="containsText" dxfId="1288" priority="2329" operator="containsText" text="$H$13">
      <formula>NOT(ISERROR(SEARCH($H$13,B393)))</formula>
      <formula>$H$13</formula>
    </cfRule>
  </conditionalFormatting>
  <conditionalFormatting sqref="B394:B395">
    <cfRule type="containsText" dxfId="1287" priority="2280" operator="containsText" text="$H$7">
      <formula>NOT(ISERROR(SEARCH($H$7,B394)))</formula>
      <formula>$H$7</formula>
    </cfRule>
    <cfRule type="containsText" dxfId="1286" priority="2279" operator="containsText" text="$H$8">
      <formula>NOT(ISERROR(SEARCH($H$8,B394)))</formula>
      <formula>$H$8</formula>
    </cfRule>
    <cfRule type="containsText" dxfId="1285" priority="2278" operator="containsText" text="$H$8">
      <formula>NOT(ISERROR(SEARCH($H$8,B394)))</formula>
      <formula>$H$8</formula>
    </cfRule>
    <cfRule type="containsText" dxfId="1284" priority="2277" operator="containsText" text="$H$9">
      <formula>NOT(ISERROR(SEARCH($H$9,B394)))</formula>
      <formula>$H$9</formula>
    </cfRule>
    <cfRule type="containsText" dxfId="1283" priority="2276" operator="containsText" text="$H$10">
      <formula>NOT(ISERROR(SEARCH($H$10,B394)))</formula>
      <formula>$H$10</formula>
    </cfRule>
    <cfRule type="containsText" dxfId="1282" priority="2275" operator="containsText" text="$H$11">
      <formula>NOT(ISERROR(SEARCH($H$11,B394)))</formula>
      <formula>$H$11</formula>
    </cfRule>
    <cfRule type="containsText" dxfId="1281" priority="2274" operator="containsText" text="$H$12">
      <formula>NOT(ISERROR(SEARCH($H$12,B394)))</formula>
      <formula>$H$12</formula>
    </cfRule>
    <cfRule type="containsText" dxfId="1280" priority="2273" operator="containsText" text="$H$13">
      <formula>NOT(ISERROR(SEARCH($H$13,B394)))</formula>
      <formula>$H$13</formula>
    </cfRule>
  </conditionalFormatting>
  <conditionalFormatting sqref="B396:B397">
    <cfRule type="containsText" dxfId="1279" priority="2272" operator="containsText" text="$H$7">
      <formula>NOT(ISERROR(SEARCH($H$7,B396)))</formula>
      <formula>$H$7</formula>
    </cfRule>
    <cfRule type="containsText" dxfId="1278" priority="2271" operator="containsText" text="$H$8">
      <formula>NOT(ISERROR(SEARCH($H$8,B396)))</formula>
      <formula>$H$8</formula>
    </cfRule>
    <cfRule type="containsText" dxfId="1277" priority="2270" operator="containsText" text="$H$8">
      <formula>NOT(ISERROR(SEARCH($H$8,B396)))</formula>
      <formula>$H$8</formula>
    </cfRule>
    <cfRule type="containsText" dxfId="1276" priority="2269" operator="containsText" text="$H$9">
      <formula>NOT(ISERROR(SEARCH($H$9,B396)))</formula>
      <formula>$H$9</formula>
    </cfRule>
    <cfRule type="containsText" dxfId="1275" priority="2268" operator="containsText" text="$H$10">
      <formula>NOT(ISERROR(SEARCH($H$10,B396)))</formula>
      <formula>$H$10</formula>
    </cfRule>
    <cfRule type="containsText" dxfId="1274" priority="2267" operator="containsText" text="$H$11">
      <formula>NOT(ISERROR(SEARCH($H$11,B396)))</formula>
      <formula>$H$11</formula>
    </cfRule>
    <cfRule type="containsText" dxfId="1273" priority="2266" operator="containsText" text="$H$12">
      <formula>NOT(ISERROR(SEARCH($H$12,B396)))</formula>
      <formula>$H$12</formula>
    </cfRule>
    <cfRule type="containsText" dxfId="1272" priority="2265" operator="containsText" text="$H$13">
      <formula>NOT(ISERROR(SEARCH($H$13,B396)))</formula>
      <formula>$H$13</formula>
    </cfRule>
  </conditionalFormatting>
  <conditionalFormatting sqref="B398:B399">
    <cfRule type="containsText" dxfId="1271" priority="2264" operator="containsText" text="$H$7">
      <formula>NOT(ISERROR(SEARCH($H$7,B398)))</formula>
      <formula>$H$7</formula>
    </cfRule>
    <cfRule type="containsText" dxfId="1270" priority="2263" operator="containsText" text="$H$8">
      <formula>NOT(ISERROR(SEARCH($H$8,B398)))</formula>
      <formula>$H$8</formula>
    </cfRule>
    <cfRule type="containsText" dxfId="1269" priority="2262" operator="containsText" text="$H$8">
      <formula>NOT(ISERROR(SEARCH($H$8,B398)))</formula>
      <formula>$H$8</formula>
    </cfRule>
    <cfRule type="containsText" dxfId="1268" priority="2261" operator="containsText" text="$H$9">
      <formula>NOT(ISERROR(SEARCH($H$9,B398)))</formula>
      <formula>$H$9</formula>
    </cfRule>
    <cfRule type="containsText" dxfId="1267" priority="2260" operator="containsText" text="$H$10">
      <formula>NOT(ISERROR(SEARCH($H$10,B398)))</formula>
      <formula>$H$10</formula>
    </cfRule>
    <cfRule type="containsText" dxfId="1266" priority="2259" operator="containsText" text="$H$11">
      <formula>NOT(ISERROR(SEARCH($H$11,B398)))</formula>
      <formula>$H$11</formula>
    </cfRule>
    <cfRule type="containsText" dxfId="1265" priority="2258" operator="containsText" text="$H$12">
      <formula>NOT(ISERROR(SEARCH($H$12,B398)))</formula>
      <formula>$H$12</formula>
    </cfRule>
    <cfRule type="containsText" dxfId="1264" priority="2257" operator="containsText" text="$H$13">
      <formula>NOT(ISERROR(SEARCH($H$13,B398)))</formula>
      <formula>$H$13</formula>
    </cfRule>
  </conditionalFormatting>
  <conditionalFormatting sqref="B78">
    <cfRule type="containsText" dxfId="1263" priority="2256" operator="containsText" text="$H$7">
      <formula>NOT(ISERROR(SEARCH($H$7,B78)))</formula>
      <formula>$H$7</formula>
    </cfRule>
    <cfRule type="containsText" dxfId="1262" priority="2255" operator="containsText" text="$H$8">
      <formula>NOT(ISERROR(SEARCH($H$8,B78)))</formula>
      <formula>$H$8</formula>
    </cfRule>
    <cfRule type="containsText" dxfId="1261" priority="2254" operator="containsText" text="$H$8">
      <formula>NOT(ISERROR(SEARCH($H$8,B78)))</formula>
      <formula>$H$8</formula>
    </cfRule>
    <cfRule type="containsText" dxfId="1260" priority="2253" operator="containsText" text="$H$9">
      <formula>NOT(ISERROR(SEARCH($H$9,B78)))</formula>
      <formula>$H$9</formula>
    </cfRule>
    <cfRule type="containsText" dxfId="1259" priority="2252" operator="containsText" text="$H$10">
      <formula>NOT(ISERROR(SEARCH($H$10,B78)))</formula>
      <formula>$H$10</formula>
    </cfRule>
    <cfRule type="containsText" dxfId="1258" priority="2251" operator="containsText" text="$H$11">
      <formula>NOT(ISERROR(SEARCH($H$11,B78)))</formula>
      <formula>$H$11</formula>
    </cfRule>
    <cfRule type="containsText" dxfId="1257" priority="2250" operator="containsText" text="$H$12">
      <formula>NOT(ISERROR(SEARCH($H$12,B78)))</formula>
      <formula>$H$12</formula>
    </cfRule>
    <cfRule type="containsText" dxfId="1256" priority="2249" operator="containsText" text="$H$13">
      <formula>NOT(ISERROR(SEARCH($H$13,B78)))</formula>
      <formula>$H$13</formula>
    </cfRule>
  </conditionalFormatting>
  <conditionalFormatting sqref="B42:B49">
    <cfRule type="containsText" dxfId="1255" priority="2248" operator="containsText" text="$H$7">
      <formula>NOT(ISERROR(SEARCH($H$7,B42)))</formula>
      <formula>$H$7</formula>
    </cfRule>
    <cfRule type="containsText" dxfId="1254" priority="2247" operator="containsText" text="$H$8">
      <formula>NOT(ISERROR(SEARCH($H$8,B42)))</formula>
      <formula>$H$8</formula>
    </cfRule>
    <cfRule type="containsText" dxfId="1253" priority="2246" operator="containsText" text="$H$8">
      <formula>NOT(ISERROR(SEARCH($H$8,B42)))</formula>
      <formula>$H$8</formula>
    </cfRule>
    <cfRule type="containsText" dxfId="1252" priority="2245" operator="containsText" text="$H$9">
      <formula>NOT(ISERROR(SEARCH($H$9,B42)))</formula>
      <formula>$H$9</formula>
    </cfRule>
    <cfRule type="containsText" dxfId="1251" priority="2244" operator="containsText" text="$H$10">
      <formula>NOT(ISERROR(SEARCH($H$10,B42)))</formula>
      <formula>$H$10</formula>
    </cfRule>
    <cfRule type="containsText" dxfId="1250" priority="2243" operator="containsText" text="$H$11">
      <formula>NOT(ISERROR(SEARCH($H$11,B42)))</formula>
      <formula>$H$11</formula>
    </cfRule>
    <cfRule type="containsText" dxfId="1249" priority="2242" operator="containsText" text="$H$12">
      <formula>NOT(ISERROR(SEARCH($H$12,B42)))</formula>
      <formula>$H$12</formula>
    </cfRule>
    <cfRule type="containsText" dxfId="1248" priority="2241" operator="containsText" text="$H$13">
      <formula>NOT(ISERROR(SEARCH($H$13,B42)))</formula>
      <formula>$H$13</formula>
    </cfRule>
  </conditionalFormatting>
  <conditionalFormatting sqref="C122">
    <cfRule type="containsText" dxfId="1247" priority="1576" operator="containsText" text="$H$7">
      <formula>NOT(ISERROR(SEARCH($H$7,C122)))</formula>
      <formula>$H$7</formula>
    </cfRule>
    <cfRule type="containsText" dxfId="1246" priority="1575" operator="containsText" text="$H$8">
      <formula>NOT(ISERROR(SEARCH($H$8,C122)))</formula>
      <formula>$H$8</formula>
    </cfRule>
    <cfRule type="containsText" dxfId="1245" priority="1574" operator="containsText" text="$H$8">
      <formula>NOT(ISERROR(SEARCH($H$8,C122)))</formula>
      <formula>$H$8</formula>
    </cfRule>
    <cfRule type="containsText" dxfId="1244" priority="1573" operator="containsText" text="$H$9">
      <formula>NOT(ISERROR(SEARCH($H$9,C122)))</formula>
      <formula>$H$9</formula>
    </cfRule>
    <cfRule type="containsText" dxfId="1243" priority="1572" operator="containsText" text="$H$10">
      <formula>NOT(ISERROR(SEARCH($H$10,C122)))</formula>
      <formula>$H$10</formula>
    </cfRule>
    <cfRule type="containsText" dxfId="1242" priority="1571" operator="containsText" text="$H$11">
      <formula>NOT(ISERROR(SEARCH($H$11,C122)))</formula>
      <formula>$H$11</formula>
    </cfRule>
    <cfRule type="containsText" dxfId="1241" priority="1570" operator="containsText" text="$H$12">
      <formula>NOT(ISERROR(SEARCH($H$12,C122)))</formula>
      <formula>$H$12</formula>
    </cfRule>
    <cfRule type="containsText" dxfId="1240" priority="1569" operator="containsText" text="$H$13">
      <formula>NOT(ISERROR(SEARCH($H$13,C122)))</formula>
      <formula>$H$13</formula>
    </cfRule>
  </conditionalFormatting>
  <conditionalFormatting sqref="C122">
    <cfRule type="containsText" dxfId="1239" priority="1568" operator="containsText" text="$H$7">
      <formula>NOT(ISERROR(SEARCH($H$7,C122)))</formula>
      <formula>$H$7</formula>
    </cfRule>
    <cfRule type="containsText" dxfId="1238" priority="1567" operator="containsText" text="$H$8">
      <formula>NOT(ISERROR(SEARCH($H$8,C122)))</formula>
      <formula>$H$8</formula>
    </cfRule>
    <cfRule type="containsText" dxfId="1237" priority="1566" operator="containsText" text="$H$8">
      <formula>NOT(ISERROR(SEARCH($H$8,C122)))</formula>
      <formula>$H$8</formula>
    </cfRule>
    <cfRule type="containsText" dxfId="1236" priority="1565" operator="containsText" text="$H$9">
      <formula>NOT(ISERROR(SEARCH($H$9,C122)))</formula>
      <formula>$H$9</formula>
    </cfRule>
    <cfRule type="containsText" dxfId="1235" priority="1564" operator="containsText" text="$H$10">
      <formula>NOT(ISERROR(SEARCH($H$10,C122)))</formula>
      <formula>$H$10</formula>
    </cfRule>
    <cfRule type="containsText" dxfId="1234" priority="1563" operator="containsText" text="$H$11">
      <formula>NOT(ISERROR(SEARCH($H$11,C122)))</formula>
      <formula>$H$11</formula>
    </cfRule>
    <cfRule type="containsText" dxfId="1233" priority="1562" operator="containsText" text="$H$12">
      <formula>NOT(ISERROR(SEARCH($H$12,C122)))</formula>
      <formula>$H$12</formula>
    </cfRule>
    <cfRule type="containsText" dxfId="1232" priority="1561" operator="containsText" text="$H$13">
      <formula>NOT(ISERROR(SEARCH($H$13,C122)))</formula>
      <formula>$H$13</formula>
    </cfRule>
  </conditionalFormatting>
  <conditionalFormatting sqref="C124">
    <cfRule type="containsText" dxfId="1231" priority="1560" operator="containsText" text="$H$7">
      <formula>NOT(ISERROR(SEARCH($H$7,C124)))</formula>
      <formula>$H$7</formula>
    </cfRule>
    <cfRule type="containsText" dxfId="1230" priority="1559" operator="containsText" text="$H$8">
      <formula>NOT(ISERROR(SEARCH($H$8,C124)))</formula>
      <formula>$H$8</formula>
    </cfRule>
    <cfRule type="containsText" dxfId="1229" priority="1558" operator="containsText" text="$H$8">
      <formula>NOT(ISERROR(SEARCH($H$8,C124)))</formula>
      <formula>$H$8</formula>
    </cfRule>
    <cfRule type="containsText" dxfId="1228" priority="1557" operator="containsText" text="$H$9">
      <formula>NOT(ISERROR(SEARCH($H$9,C124)))</formula>
      <formula>$H$9</formula>
    </cfRule>
    <cfRule type="containsText" dxfId="1227" priority="1556" operator="containsText" text="$H$10">
      <formula>NOT(ISERROR(SEARCH($H$10,C124)))</formula>
      <formula>$H$10</formula>
    </cfRule>
    <cfRule type="containsText" dxfId="1226" priority="1555" operator="containsText" text="$H$11">
      <formula>NOT(ISERROR(SEARCH($H$11,C124)))</formula>
      <formula>$H$11</formula>
    </cfRule>
    <cfRule type="containsText" dxfId="1225" priority="1554" operator="containsText" text="$H$12">
      <formula>NOT(ISERROR(SEARCH($H$12,C124)))</formula>
      <formula>$H$12</formula>
    </cfRule>
    <cfRule type="containsText" dxfId="1224" priority="1553" operator="containsText" text="$H$13">
      <formula>NOT(ISERROR(SEARCH($H$13,C124)))</formula>
      <formula>$H$13</formula>
    </cfRule>
  </conditionalFormatting>
  <conditionalFormatting sqref="C124">
    <cfRule type="containsText" dxfId="1223" priority="1552" operator="containsText" text="$H$7">
      <formula>NOT(ISERROR(SEARCH($H$7,C124)))</formula>
      <formula>$H$7</formula>
    </cfRule>
    <cfRule type="containsText" dxfId="1222" priority="1551" operator="containsText" text="$H$8">
      <formula>NOT(ISERROR(SEARCH($H$8,C124)))</formula>
      <formula>$H$8</formula>
    </cfRule>
    <cfRule type="containsText" dxfId="1221" priority="1550" operator="containsText" text="$H$8">
      <formula>NOT(ISERROR(SEARCH($H$8,C124)))</formula>
      <formula>$H$8</formula>
    </cfRule>
    <cfRule type="containsText" dxfId="1220" priority="1549" operator="containsText" text="$H$9">
      <formula>NOT(ISERROR(SEARCH($H$9,C124)))</formula>
      <formula>$H$9</formula>
    </cfRule>
    <cfRule type="containsText" dxfId="1219" priority="1548" operator="containsText" text="$H$10">
      <formula>NOT(ISERROR(SEARCH($H$10,C124)))</formula>
      <formula>$H$10</formula>
    </cfRule>
    <cfRule type="containsText" dxfId="1218" priority="1547" operator="containsText" text="$H$11">
      <formula>NOT(ISERROR(SEARCH($H$11,C124)))</formula>
      <formula>$H$11</formula>
    </cfRule>
    <cfRule type="containsText" dxfId="1217" priority="1546" operator="containsText" text="$H$12">
      <formula>NOT(ISERROR(SEARCH($H$12,C124)))</formula>
      <formula>$H$12</formula>
    </cfRule>
    <cfRule type="containsText" dxfId="1216" priority="1545" operator="containsText" text="$H$13">
      <formula>NOT(ISERROR(SEARCH($H$13,C124)))</formula>
      <formula>$H$13</formula>
    </cfRule>
  </conditionalFormatting>
  <conditionalFormatting sqref="C126">
    <cfRule type="containsText" dxfId="1215" priority="1544" operator="containsText" text="$H$7">
      <formula>NOT(ISERROR(SEARCH($H$7,C126)))</formula>
      <formula>$H$7</formula>
    </cfRule>
    <cfRule type="containsText" dxfId="1214" priority="1543" operator="containsText" text="$H$8">
      <formula>NOT(ISERROR(SEARCH($H$8,C126)))</formula>
      <formula>$H$8</formula>
    </cfRule>
    <cfRule type="containsText" dxfId="1213" priority="1542" operator="containsText" text="$H$8">
      <formula>NOT(ISERROR(SEARCH($H$8,C126)))</formula>
      <formula>$H$8</formula>
    </cfRule>
    <cfRule type="containsText" dxfId="1212" priority="1541" operator="containsText" text="$H$9">
      <formula>NOT(ISERROR(SEARCH($H$9,C126)))</formula>
      <formula>$H$9</formula>
    </cfRule>
    <cfRule type="containsText" dxfId="1211" priority="1540" operator="containsText" text="$H$10">
      <formula>NOT(ISERROR(SEARCH($H$10,C126)))</formula>
      <formula>$H$10</formula>
    </cfRule>
    <cfRule type="containsText" dxfId="1210" priority="1539" operator="containsText" text="$H$11">
      <formula>NOT(ISERROR(SEARCH($H$11,C126)))</formula>
      <formula>$H$11</formula>
    </cfRule>
    <cfRule type="containsText" dxfId="1209" priority="1538" operator="containsText" text="$H$12">
      <formula>NOT(ISERROR(SEARCH($H$12,C126)))</formula>
      <formula>$H$12</formula>
    </cfRule>
    <cfRule type="containsText" dxfId="1208" priority="1537" operator="containsText" text="$H$13">
      <formula>NOT(ISERROR(SEARCH($H$13,C126)))</formula>
      <formula>$H$13</formula>
    </cfRule>
  </conditionalFormatting>
  <conditionalFormatting sqref="C126">
    <cfRule type="containsText" dxfId="1207" priority="1536" operator="containsText" text="$H$7">
      <formula>NOT(ISERROR(SEARCH($H$7,C126)))</formula>
      <formula>$H$7</formula>
    </cfRule>
    <cfRule type="containsText" dxfId="1206" priority="1535" operator="containsText" text="$H$8">
      <formula>NOT(ISERROR(SEARCH($H$8,C126)))</formula>
      <formula>$H$8</formula>
    </cfRule>
    <cfRule type="containsText" dxfId="1205" priority="1534" operator="containsText" text="$H$8">
      <formula>NOT(ISERROR(SEARCH($H$8,C126)))</formula>
      <formula>$H$8</formula>
    </cfRule>
    <cfRule type="containsText" dxfId="1204" priority="1533" operator="containsText" text="$H$9">
      <formula>NOT(ISERROR(SEARCH($H$9,C126)))</formula>
      <formula>$H$9</formula>
    </cfRule>
    <cfRule type="containsText" dxfId="1203" priority="1532" operator="containsText" text="$H$10">
      <formula>NOT(ISERROR(SEARCH($H$10,C126)))</formula>
      <formula>$H$10</formula>
    </cfRule>
    <cfRule type="containsText" dxfId="1202" priority="1531" operator="containsText" text="$H$11">
      <formula>NOT(ISERROR(SEARCH($H$11,C126)))</formula>
      <formula>$H$11</formula>
    </cfRule>
    <cfRule type="containsText" dxfId="1201" priority="1530" operator="containsText" text="$H$12">
      <formula>NOT(ISERROR(SEARCH($H$12,C126)))</formula>
      <formula>$H$12</formula>
    </cfRule>
    <cfRule type="containsText" dxfId="1200" priority="1529" operator="containsText" text="$H$13">
      <formula>NOT(ISERROR(SEARCH($H$13,C126)))</formula>
      <formula>$H$13</formula>
    </cfRule>
  </conditionalFormatting>
  <conditionalFormatting sqref="C128">
    <cfRule type="containsText" dxfId="1199" priority="1528" operator="containsText" text="$H$7">
      <formula>NOT(ISERROR(SEARCH($H$7,C128)))</formula>
      <formula>$H$7</formula>
    </cfRule>
    <cfRule type="containsText" dxfId="1198" priority="1527" operator="containsText" text="$H$8">
      <formula>NOT(ISERROR(SEARCH($H$8,C128)))</formula>
      <formula>$H$8</formula>
    </cfRule>
    <cfRule type="containsText" dxfId="1197" priority="1526" operator="containsText" text="$H$8">
      <formula>NOT(ISERROR(SEARCH($H$8,C128)))</formula>
      <formula>$H$8</formula>
    </cfRule>
    <cfRule type="containsText" dxfId="1196" priority="1525" operator="containsText" text="$H$9">
      <formula>NOT(ISERROR(SEARCH($H$9,C128)))</formula>
      <formula>$H$9</formula>
    </cfRule>
    <cfRule type="containsText" dxfId="1195" priority="1524" operator="containsText" text="$H$10">
      <formula>NOT(ISERROR(SEARCH($H$10,C128)))</formula>
      <formula>$H$10</formula>
    </cfRule>
    <cfRule type="containsText" dxfId="1194" priority="1523" operator="containsText" text="$H$11">
      <formula>NOT(ISERROR(SEARCH($H$11,C128)))</formula>
      <formula>$H$11</formula>
    </cfRule>
    <cfRule type="containsText" dxfId="1193" priority="1522" operator="containsText" text="$H$12">
      <formula>NOT(ISERROR(SEARCH($H$12,C128)))</formula>
      <formula>$H$12</formula>
    </cfRule>
    <cfRule type="containsText" dxfId="1192" priority="1521" operator="containsText" text="$H$13">
      <formula>NOT(ISERROR(SEARCH($H$13,C128)))</formula>
      <formula>$H$13</formula>
    </cfRule>
  </conditionalFormatting>
  <conditionalFormatting sqref="C128">
    <cfRule type="containsText" dxfId="1191" priority="1520" operator="containsText" text="$H$7">
      <formula>NOT(ISERROR(SEARCH($H$7,C128)))</formula>
      <formula>$H$7</formula>
    </cfRule>
    <cfRule type="containsText" dxfId="1190" priority="1519" operator="containsText" text="$H$8">
      <formula>NOT(ISERROR(SEARCH($H$8,C128)))</formula>
      <formula>$H$8</formula>
    </cfRule>
    <cfRule type="containsText" dxfId="1189" priority="1518" operator="containsText" text="$H$8">
      <formula>NOT(ISERROR(SEARCH($H$8,C128)))</formula>
      <formula>$H$8</formula>
    </cfRule>
    <cfRule type="containsText" dxfId="1188" priority="1517" operator="containsText" text="$H$9">
      <formula>NOT(ISERROR(SEARCH($H$9,C128)))</formula>
      <formula>$H$9</formula>
    </cfRule>
    <cfRule type="containsText" dxfId="1187" priority="1516" operator="containsText" text="$H$10">
      <formula>NOT(ISERROR(SEARCH($H$10,C128)))</formula>
      <formula>$H$10</formula>
    </cfRule>
    <cfRule type="containsText" dxfId="1186" priority="1515" operator="containsText" text="$H$11">
      <formula>NOT(ISERROR(SEARCH($H$11,C128)))</formula>
      <formula>$H$11</formula>
    </cfRule>
    <cfRule type="containsText" dxfId="1185" priority="1514" operator="containsText" text="$H$12">
      <formula>NOT(ISERROR(SEARCH($H$12,C128)))</formula>
      <formula>$H$12</formula>
    </cfRule>
    <cfRule type="containsText" dxfId="1184" priority="1513" operator="containsText" text="$H$13">
      <formula>NOT(ISERROR(SEARCH($H$13,C128)))</formula>
      <formula>$H$13</formula>
    </cfRule>
  </conditionalFormatting>
  <conditionalFormatting sqref="D114">
    <cfRule type="containsText" dxfId="1183" priority="1512" operator="containsText" text="$H$7">
      <formula>NOT(ISERROR(SEARCH($H$7,D114)))</formula>
      <formula>$H$7</formula>
    </cfRule>
    <cfRule type="containsText" dxfId="1182" priority="1511" operator="containsText" text="$H$8">
      <formula>NOT(ISERROR(SEARCH($H$8,D114)))</formula>
      <formula>$H$8</formula>
    </cfRule>
    <cfRule type="containsText" dxfId="1181" priority="1510" operator="containsText" text="$H$8">
      <formula>NOT(ISERROR(SEARCH($H$8,D114)))</formula>
      <formula>$H$8</formula>
    </cfRule>
    <cfRule type="containsText" dxfId="1180" priority="1509" operator="containsText" text="$H$9">
      <formula>NOT(ISERROR(SEARCH($H$9,D114)))</formula>
      <formula>$H$9</formula>
    </cfRule>
    <cfRule type="containsText" dxfId="1179" priority="1508" operator="containsText" text="$H$10">
      <formula>NOT(ISERROR(SEARCH($H$10,D114)))</formula>
      <formula>$H$10</formula>
    </cfRule>
    <cfRule type="containsText" dxfId="1178" priority="1507" operator="containsText" text="$H$11">
      <formula>NOT(ISERROR(SEARCH($H$11,D114)))</formula>
      <formula>$H$11</formula>
    </cfRule>
    <cfRule type="containsText" dxfId="1177" priority="1506" operator="containsText" text="$H$12">
      <formula>NOT(ISERROR(SEARCH($H$12,D114)))</formula>
      <formula>$H$12</formula>
    </cfRule>
    <cfRule type="containsText" dxfId="1176" priority="1505" operator="containsText" text="$H$13">
      <formula>NOT(ISERROR(SEARCH($H$13,D114)))</formula>
      <formula>$H$13</formula>
    </cfRule>
  </conditionalFormatting>
  <conditionalFormatting sqref="D114">
    <cfRule type="containsText" dxfId="1175" priority="1504" operator="containsText" text="$H$7">
      <formula>NOT(ISERROR(SEARCH($H$7,D114)))</formula>
      <formula>$H$7</formula>
    </cfRule>
    <cfRule type="containsText" dxfId="1174" priority="1503" operator="containsText" text="$H$8">
      <formula>NOT(ISERROR(SEARCH($H$8,D114)))</formula>
      <formula>$H$8</formula>
    </cfRule>
    <cfRule type="containsText" dxfId="1173" priority="1502" operator="containsText" text="$H$8">
      <formula>NOT(ISERROR(SEARCH($H$8,D114)))</formula>
      <formula>$H$8</formula>
    </cfRule>
    <cfRule type="containsText" dxfId="1172" priority="1501" operator="containsText" text="$H$9">
      <formula>NOT(ISERROR(SEARCH($H$9,D114)))</formula>
      <formula>$H$9</formula>
    </cfRule>
    <cfRule type="containsText" dxfId="1171" priority="1500" operator="containsText" text="$H$10">
      <formula>NOT(ISERROR(SEARCH($H$10,D114)))</formula>
      <formula>$H$10</formula>
    </cfRule>
    <cfRule type="containsText" dxfId="1170" priority="1499" operator="containsText" text="$H$11">
      <formula>NOT(ISERROR(SEARCH($H$11,D114)))</formula>
      <formula>$H$11</formula>
    </cfRule>
    <cfRule type="containsText" dxfId="1169" priority="1498" operator="containsText" text="$H$12">
      <formula>NOT(ISERROR(SEARCH($H$12,D114)))</formula>
      <formula>$H$12</formula>
    </cfRule>
    <cfRule type="containsText" dxfId="1168" priority="1497" operator="containsText" text="$H$13">
      <formula>NOT(ISERROR(SEARCH($H$13,D114)))</formula>
      <formula>$H$13</formula>
    </cfRule>
  </conditionalFormatting>
  <conditionalFormatting sqref="D116">
    <cfRule type="containsText" dxfId="1167" priority="1496" operator="containsText" text="$H$7">
      <formula>NOT(ISERROR(SEARCH($H$7,D116)))</formula>
      <formula>$H$7</formula>
    </cfRule>
    <cfRule type="containsText" dxfId="1166" priority="1495" operator="containsText" text="$H$8">
      <formula>NOT(ISERROR(SEARCH($H$8,D116)))</formula>
      <formula>$H$8</formula>
    </cfRule>
    <cfRule type="containsText" dxfId="1165" priority="1494" operator="containsText" text="$H$8">
      <formula>NOT(ISERROR(SEARCH($H$8,D116)))</formula>
      <formula>$H$8</formula>
    </cfRule>
    <cfRule type="containsText" dxfId="1164" priority="1493" operator="containsText" text="$H$9">
      <formula>NOT(ISERROR(SEARCH($H$9,D116)))</formula>
      <formula>$H$9</formula>
    </cfRule>
    <cfRule type="containsText" dxfId="1163" priority="1492" operator="containsText" text="$H$10">
      <formula>NOT(ISERROR(SEARCH($H$10,D116)))</formula>
      <formula>$H$10</formula>
    </cfRule>
    <cfRule type="containsText" dxfId="1162" priority="1491" operator="containsText" text="$H$11">
      <formula>NOT(ISERROR(SEARCH($H$11,D116)))</formula>
      <formula>$H$11</formula>
    </cfRule>
    <cfRule type="containsText" dxfId="1161" priority="1490" operator="containsText" text="$H$12">
      <formula>NOT(ISERROR(SEARCH($H$12,D116)))</formula>
      <formula>$H$12</formula>
    </cfRule>
    <cfRule type="containsText" dxfId="1160" priority="1489" operator="containsText" text="$H$13">
      <formula>NOT(ISERROR(SEARCH($H$13,D116)))</formula>
      <formula>$H$13</formula>
    </cfRule>
  </conditionalFormatting>
  <conditionalFormatting sqref="D116">
    <cfRule type="containsText" dxfId="1159" priority="1488" operator="containsText" text="$H$7">
      <formula>NOT(ISERROR(SEARCH($H$7,D116)))</formula>
      <formula>$H$7</formula>
    </cfRule>
    <cfRule type="containsText" dxfId="1158" priority="1487" operator="containsText" text="$H$8">
      <formula>NOT(ISERROR(SEARCH($H$8,D116)))</formula>
      <formula>$H$8</formula>
    </cfRule>
    <cfRule type="containsText" dxfId="1157" priority="1486" operator="containsText" text="$H$8">
      <formula>NOT(ISERROR(SEARCH($H$8,D116)))</formula>
      <formula>$H$8</formula>
    </cfRule>
    <cfRule type="containsText" dxfId="1156" priority="1485" operator="containsText" text="$H$9">
      <formula>NOT(ISERROR(SEARCH($H$9,D116)))</formula>
      <formula>$H$9</formula>
    </cfRule>
    <cfRule type="containsText" dxfId="1155" priority="1484" operator="containsText" text="$H$10">
      <formula>NOT(ISERROR(SEARCH($H$10,D116)))</formula>
      <formula>$H$10</formula>
    </cfRule>
    <cfRule type="containsText" dxfId="1154" priority="1483" operator="containsText" text="$H$11">
      <formula>NOT(ISERROR(SEARCH($H$11,D116)))</formula>
      <formula>$H$11</formula>
    </cfRule>
    <cfRule type="containsText" dxfId="1153" priority="1482" operator="containsText" text="$H$12">
      <formula>NOT(ISERROR(SEARCH($H$12,D116)))</formula>
      <formula>$H$12</formula>
    </cfRule>
    <cfRule type="containsText" dxfId="1152" priority="1481" operator="containsText" text="$H$13">
      <formula>NOT(ISERROR(SEARCH($H$13,D116)))</formula>
      <formula>$H$13</formula>
    </cfRule>
  </conditionalFormatting>
  <conditionalFormatting sqref="D118">
    <cfRule type="containsText" dxfId="1151" priority="1480" operator="containsText" text="$H$7">
      <formula>NOT(ISERROR(SEARCH($H$7,D118)))</formula>
      <formula>$H$7</formula>
    </cfRule>
    <cfRule type="containsText" dxfId="1150" priority="1479" operator="containsText" text="$H$8">
      <formula>NOT(ISERROR(SEARCH($H$8,D118)))</formula>
      <formula>$H$8</formula>
    </cfRule>
    <cfRule type="containsText" dxfId="1149" priority="1478" operator="containsText" text="$H$8">
      <formula>NOT(ISERROR(SEARCH($H$8,D118)))</formula>
      <formula>$H$8</formula>
    </cfRule>
    <cfRule type="containsText" dxfId="1148" priority="1477" operator="containsText" text="$H$9">
      <formula>NOT(ISERROR(SEARCH($H$9,D118)))</formula>
      <formula>$H$9</formula>
    </cfRule>
    <cfRule type="containsText" dxfId="1147" priority="1476" operator="containsText" text="$H$10">
      <formula>NOT(ISERROR(SEARCH($H$10,D118)))</formula>
      <formula>$H$10</formula>
    </cfRule>
    <cfRule type="containsText" dxfId="1146" priority="1475" operator="containsText" text="$H$11">
      <formula>NOT(ISERROR(SEARCH($H$11,D118)))</formula>
      <formula>$H$11</formula>
    </cfRule>
    <cfRule type="containsText" dxfId="1145" priority="1474" operator="containsText" text="$H$12">
      <formula>NOT(ISERROR(SEARCH($H$12,D118)))</formula>
      <formula>$H$12</formula>
    </cfRule>
    <cfRule type="containsText" dxfId="1144" priority="1473" operator="containsText" text="$H$13">
      <formula>NOT(ISERROR(SEARCH($H$13,D118)))</formula>
      <formula>$H$13</formula>
    </cfRule>
  </conditionalFormatting>
  <conditionalFormatting sqref="D118">
    <cfRule type="containsText" dxfId="1143" priority="1472" operator="containsText" text="$H$7">
      <formula>NOT(ISERROR(SEARCH($H$7,D118)))</formula>
      <formula>$H$7</formula>
    </cfRule>
    <cfRule type="containsText" dxfId="1142" priority="1471" operator="containsText" text="$H$8">
      <formula>NOT(ISERROR(SEARCH($H$8,D118)))</formula>
      <formula>$H$8</formula>
    </cfRule>
    <cfRule type="containsText" dxfId="1141" priority="1470" operator="containsText" text="$H$8">
      <formula>NOT(ISERROR(SEARCH($H$8,D118)))</formula>
      <formula>$H$8</formula>
    </cfRule>
    <cfRule type="containsText" dxfId="1140" priority="1469" operator="containsText" text="$H$9">
      <formula>NOT(ISERROR(SEARCH($H$9,D118)))</formula>
      <formula>$H$9</formula>
    </cfRule>
    <cfRule type="containsText" dxfId="1139" priority="1468" operator="containsText" text="$H$10">
      <formula>NOT(ISERROR(SEARCH($H$10,D118)))</formula>
      <formula>$H$10</formula>
    </cfRule>
    <cfRule type="containsText" dxfId="1138" priority="1467" operator="containsText" text="$H$11">
      <formula>NOT(ISERROR(SEARCH($H$11,D118)))</formula>
      <formula>$H$11</formula>
    </cfRule>
    <cfRule type="containsText" dxfId="1137" priority="1466" operator="containsText" text="$H$12">
      <formula>NOT(ISERROR(SEARCH($H$12,D118)))</formula>
      <formula>$H$12</formula>
    </cfRule>
    <cfRule type="containsText" dxfId="1136" priority="1465" operator="containsText" text="$H$13">
      <formula>NOT(ISERROR(SEARCH($H$13,D118)))</formula>
      <formula>$H$13</formula>
    </cfRule>
  </conditionalFormatting>
  <conditionalFormatting sqref="D120">
    <cfRule type="containsText" dxfId="1135" priority="1464" operator="containsText" text="$H$7">
      <formula>NOT(ISERROR(SEARCH($H$7,D120)))</formula>
      <formula>$H$7</formula>
    </cfRule>
    <cfRule type="containsText" dxfId="1134" priority="1463" operator="containsText" text="$H$8">
      <formula>NOT(ISERROR(SEARCH($H$8,D120)))</formula>
      <formula>$H$8</formula>
    </cfRule>
    <cfRule type="containsText" dxfId="1133" priority="1462" operator="containsText" text="$H$8">
      <formula>NOT(ISERROR(SEARCH($H$8,D120)))</formula>
      <formula>$H$8</formula>
    </cfRule>
    <cfRule type="containsText" dxfId="1132" priority="1461" operator="containsText" text="$H$9">
      <formula>NOT(ISERROR(SEARCH($H$9,D120)))</formula>
      <formula>$H$9</formula>
    </cfRule>
    <cfRule type="containsText" dxfId="1131" priority="1460" operator="containsText" text="$H$10">
      <formula>NOT(ISERROR(SEARCH($H$10,D120)))</formula>
      <formula>$H$10</formula>
    </cfRule>
    <cfRule type="containsText" dxfId="1130" priority="1459" operator="containsText" text="$H$11">
      <formula>NOT(ISERROR(SEARCH($H$11,D120)))</formula>
      <formula>$H$11</formula>
    </cfRule>
    <cfRule type="containsText" dxfId="1129" priority="1458" operator="containsText" text="$H$12">
      <formula>NOT(ISERROR(SEARCH($H$12,D120)))</formula>
      <formula>$H$12</formula>
    </cfRule>
    <cfRule type="containsText" dxfId="1128" priority="1457" operator="containsText" text="$H$13">
      <formula>NOT(ISERROR(SEARCH($H$13,D120)))</formula>
      <formula>$H$13</formula>
    </cfRule>
  </conditionalFormatting>
  <conditionalFormatting sqref="D120">
    <cfRule type="containsText" dxfId="1127" priority="1456" operator="containsText" text="$H$7">
      <formula>NOT(ISERROR(SEARCH($H$7,D120)))</formula>
      <formula>$H$7</formula>
    </cfRule>
    <cfRule type="containsText" dxfId="1126" priority="1455" operator="containsText" text="$H$8">
      <formula>NOT(ISERROR(SEARCH($H$8,D120)))</formula>
      <formula>$H$8</formula>
    </cfRule>
    <cfRule type="containsText" dxfId="1125" priority="1454" operator="containsText" text="$H$8">
      <formula>NOT(ISERROR(SEARCH($H$8,D120)))</formula>
      <formula>$H$8</formula>
    </cfRule>
    <cfRule type="containsText" dxfId="1124" priority="1453" operator="containsText" text="$H$9">
      <formula>NOT(ISERROR(SEARCH($H$9,D120)))</formula>
      <formula>$H$9</formula>
    </cfRule>
    <cfRule type="containsText" dxfId="1123" priority="1452" operator="containsText" text="$H$10">
      <formula>NOT(ISERROR(SEARCH($H$10,D120)))</formula>
      <formula>$H$10</formula>
    </cfRule>
    <cfRule type="containsText" dxfId="1122" priority="1451" operator="containsText" text="$H$11">
      <formula>NOT(ISERROR(SEARCH($H$11,D120)))</formula>
      <formula>$H$11</formula>
    </cfRule>
    <cfRule type="containsText" dxfId="1121" priority="1450" operator="containsText" text="$H$12">
      <formula>NOT(ISERROR(SEARCH($H$12,D120)))</formula>
      <formula>$H$12</formula>
    </cfRule>
    <cfRule type="containsText" dxfId="1120" priority="1449" operator="containsText" text="$H$13">
      <formula>NOT(ISERROR(SEARCH($H$13,D120)))</formula>
      <formula>$H$13</formula>
    </cfRule>
  </conditionalFormatting>
  <conditionalFormatting sqref="E122">
    <cfRule type="containsText" dxfId="1119" priority="1448" operator="containsText" text="$H$7">
      <formula>NOT(ISERROR(SEARCH($H$7,E122)))</formula>
      <formula>$H$7</formula>
    </cfRule>
    <cfRule type="containsText" dxfId="1118" priority="1447" operator="containsText" text="$H$8">
      <formula>NOT(ISERROR(SEARCH($H$8,E122)))</formula>
      <formula>$H$8</formula>
    </cfRule>
    <cfRule type="containsText" dxfId="1117" priority="1446" operator="containsText" text="$H$8">
      <formula>NOT(ISERROR(SEARCH($H$8,E122)))</formula>
      <formula>$H$8</formula>
    </cfRule>
    <cfRule type="containsText" dxfId="1116" priority="1445" operator="containsText" text="$H$9">
      <formula>NOT(ISERROR(SEARCH($H$9,E122)))</formula>
      <formula>$H$9</formula>
    </cfRule>
    <cfRule type="containsText" dxfId="1115" priority="1444" operator="containsText" text="$H$10">
      <formula>NOT(ISERROR(SEARCH($H$10,E122)))</formula>
      <formula>$H$10</formula>
    </cfRule>
    <cfRule type="containsText" dxfId="1114" priority="1443" operator="containsText" text="$H$11">
      <formula>NOT(ISERROR(SEARCH($H$11,E122)))</formula>
      <formula>$H$11</formula>
    </cfRule>
    <cfRule type="containsText" dxfId="1113" priority="1442" operator="containsText" text="$H$12">
      <formula>NOT(ISERROR(SEARCH($H$12,E122)))</formula>
      <formula>$H$12</formula>
    </cfRule>
    <cfRule type="containsText" dxfId="1112" priority="1441" operator="containsText" text="$H$13">
      <formula>NOT(ISERROR(SEARCH($H$13,E122)))</formula>
      <formula>$H$13</formula>
    </cfRule>
  </conditionalFormatting>
  <conditionalFormatting sqref="E122">
    <cfRule type="containsText" dxfId="1111" priority="1440" operator="containsText" text="$H$7">
      <formula>NOT(ISERROR(SEARCH($H$7,E122)))</formula>
      <formula>$H$7</formula>
    </cfRule>
    <cfRule type="containsText" dxfId="1110" priority="1439" operator="containsText" text="$H$8">
      <formula>NOT(ISERROR(SEARCH($H$8,E122)))</formula>
      <formula>$H$8</formula>
    </cfRule>
    <cfRule type="containsText" dxfId="1109" priority="1438" operator="containsText" text="$H$8">
      <formula>NOT(ISERROR(SEARCH($H$8,E122)))</formula>
      <formula>$H$8</formula>
    </cfRule>
    <cfRule type="containsText" dxfId="1108" priority="1437" operator="containsText" text="$H$9">
      <formula>NOT(ISERROR(SEARCH($H$9,E122)))</formula>
      <formula>$H$9</formula>
    </cfRule>
    <cfRule type="containsText" dxfId="1107" priority="1436" operator="containsText" text="$H$10">
      <formula>NOT(ISERROR(SEARCH($H$10,E122)))</formula>
      <formula>$H$10</formula>
    </cfRule>
    <cfRule type="containsText" dxfId="1106" priority="1435" operator="containsText" text="$H$11">
      <formula>NOT(ISERROR(SEARCH($H$11,E122)))</formula>
      <formula>$H$11</formula>
    </cfRule>
    <cfRule type="containsText" dxfId="1105" priority="1434" operator="containsText" text="$H$12">
      <formula>NOT(ISERROR(SEARCH($H$12,E122)))</formula>
      <formula>$H$12</formula>
    </cfRule>
    <cfRule type="containsText" dxfId="1104" priority="1433" operator="containsText" text="$H$13">
      <formula>NOT(ISERROR(SEARCH($H$13,E122)))</formula>
      <formula>$H$13</formula>
    </cfRule>
  </conditionalFormatting>
  <conditionalFormatting sqref="E124">
    <cfRule type="containsText" dxfId="1103" priority="1432" operator="containsText" text="$H$7">
      <formula>NOT(ISERROR(SEARCH($H$7,E124)))</formula>
      <formula>$H$7</formula>
    </cfRule>
    <cfRule type="containsText" dxfId="1102" priority="1431" operator="containsText" text="$H$8">
      <formula>NOT(ISERROR(SEARCH($H$8,E124)))</formula>
      <formula>$H$8</formula>
    </cfRule>
    <cfRule type="containsText" dxfId="1101" priority="1430" operator="containsText" text="$H$8">
      <formula>NOT(ISERROR(SEARCH($H$8,E124)))</formula>
      <formula>$H$8</formula>
    </cfRule>
    <cfRule type="containsText" dxfId="1100" priority="1429" operator="containsText" text="$H$9">
      <formula>NOT(ISERROR(SEARCH($H$9,E124)))</formula>
      <formula>$H$9</formula>
    </cfRule>
    <cfRule type="containsText" dxfId="1099" priority="1428" operator="containsText" text="$H$10">
      <formula>NOT(ISERROR(SEARCH($H$10,E124)))</formula>
      <formula>$H$10</formula>
    </cfRule>
    <cfRule type="containsText" dxfId="1098" priority="1427" operator="containsText" text="$H$11">
      <formula>NOT(ISERROR(SEARCH($H$11,E124)))</formula>
      <formula>$H$11</formula>
    </cfRule>
    <cfRule type="containsText" dxfId="1097" priority="1426" operator="containsText" text="$H$12">
      <formula>NOT(ISERROR(SEARCH($H$12,E124)))</formula>
      <formula>$H$12</formula>
    </cfRule>
    <cfRule type="containsText" dxfId="1096" priority="1425" operator="containsText" text="$H$13">
      <formula>NOT(ISERROR(SEARCH($H$13,E124)))</formula>
      <formula>$H$13</formula>
    </cfRule>
  </conditionalFormatting>
  <conditionalFormatting sqref="E124">
    <cfRule type="containsText" dxfId="1095" priority="1424" operator="containsText" text="$H$7">
      <formula>NOT(ISERROR(SEARCH($H$7,E124)))</formula>
      <formula>$H$7</formula>
    </cfRule>
    <cfRule type="containsText" dxfId="1094" priority="1423" operator="containsText" text="$H$8">
      <formula>NOT(ISERROR(SEARCH($H$8,E124)))</formula>
      <formula>$H$8</formula>
    </cfRule>
    <cfRule type="containsText" dxfId="1093" priority="1422" operator="containsText" text="$H$8">
      <formula>NOT(ISERROR(SEARCH($H$8,E124)))</formula>
      <formula>$H$8</formula>
    </cfRule>
    <cfRule type="containsText" dxfId="1092" priority="1421" operator="containsText" text="$H$9">
      <formula>NOT(ISERROR(SEARCH($H$9,E124)))</formula>
      <formula>$H$9</formula>
    </cfRule>
    <cfRule type="containsText" dxfId="1091" priority="1420" operator="containsText" text="$H$10">
      <formula>NOT(ISERROR(SEARCH($H$10,E124)))</formula>
      <formula>$H$10</formula>
    </cfRule>
    <cfRule type="containsText" dxfId="1090" priority="1419" operator="containsText" text="$H$11">
      <formula>NOT(ISERROR(SEARCH($H$11,E124)))</formula>
      <formula>$H$11</formula>
    </cfRule>
    <cfRule type="containsText" dxfId="1089" priority="1418" operator="containsText" text="$H$12">
      <formula>NOT(ISERROR(SEARCH($H$12,E124)))</formula>
      <formula>$H$12</formula>
    </cfRule>
    <cfRule type="containsText" dxfId="1088" priority="1417" operator="containsText" text="$H$13">
      <formula>NOT(ISERROR(SEARCH($H$13,E124)))</formula>
      <formula>$H$13</formula>
    </cfRule>
  </conditionalFormatting>
  <conditionalFormatting sqref="E126">
    <cfRule type="containsText" dxfId="1087" priority="1416" operator="containsText" text="$H$7">
      <formula>NOT(ISERROR(SEARCH($H$7,E126)))</formula>
      <formula>$H$7</formula>
    </cfRule>
    <cfRule type="containsText" dxfId="1086" priority="1415" operator="containsText" text="$H$8">
      <formula>NOT(ISERROR(SEARCH($H$8,E126)))</formula>
      <formula>$H$8</formula>
    </cfRule>
    <cfRule type="containsText" dxfId="1085" priority="1414" operator="containsText" text="$H$8">
      <formula>NOT(ISERROR(SEARCH($H$8,E126)))</formula>
      <formula>$H$8</formula>
    </cfRule>
    <cfRule type="containsText" dxfId="1084" priority="1413" operator="containsText" text="$H$9">
      <formula>NOT(ISERROR(SEARCH($H$9,E126)))</formula>
      <formula>$H$9</formula>
    </cfRule>
    <cfRule type="containsText" dxfId="1083" priority="1412" operator="containsText" text="$H$10">
      <formula>NOT(ISERROR(SEARCH($H$10,E126)))</formula>
      <formula>$H$10</formula>
    </cfRule>
    <cfRule type="containsText" dxfId="1082" priority="1411" operator="containsText" text="$H$11">
      <formula>NOT(ISERROR(SEARCH($H$11,E126)))</formula>
      <formula>$H$11</formula>
    </cfRule>
    <cfRule type="containsText" dxfId="1081" priority="1410" operator="containsText" text="$H$12">
      <formula>NOT(ISERROR(SEARCH($H$12,E126)))</formula>
      <formula>$H$12</formula>
    </cfRule>
    <cfRule type="containsText" dxfId="1080" priority="1409" operator="containsText" text="$H$13">
      <formula>NOT(ISERROR(SEARCH($H$13,E126)))</formula>
      <formula>$H$13</formula>
    </cfRule>
  </conditionalFormatting>
  <conditionalFormatting sqref="E126">
    <cfRule type="containsText" dxfId="1079" priority="1408" operator="containsText" text="$H$7">
      <formula>NOT(ISERROR(SEARCH($H$7,E126)))</formula>
      <formula>$H$7</formula>
    </cfRule>
    <cfRule type="containsText" dxfId="1078" priority="1407" operator="containsText" text="$H$8">
      <formula>NOT(ISERROR(SEARCH($H$8,E126)))</formula>
      <formula>$H$8</formula>
    </cfRule>
    <cfRule type="containsText" dxfId="1077" priority="1406" operator="containsText" text="$H$8">
      <formula>NOT(ISERROR(SEARCH($H$8,E126)))</formula>
      <formula>$H$8</formula>
    </cfRule>
    <cfRule type="containsText" dxfId="1076" priority="1405" operator="containsText" text="$H$9">
      <formula>NOT(ISERROR(SEARCH($H$9,E126)))</formula>
      <formula>$H$9</formula>
    </cfRule>
    <cfRule type="containsText" dxfId="1075" priority="1404" operator="containsText" text="$H$10">
      <formula>NOT(ISERROR(SEARCH($H$10,E126)))</formula>
      <formula>$H$10</formula>
    </cfRule>
    <cfRule type="containsText" dxfId="1074" priority="1403" operator="containsText" text="$H$11">
      <formula>NOT(ISERROR(SEARCH($H$11,E126)))</formula>
      <formula>$H$11</formula>
    </cfRule>
    <cfRule type="containsText" dxfId="1073" priority="1402" operator="containsText" text="$H$12">
      <formula>NOT(ISERROR(SEARCH($H$12,E126)))</formula>
      <formula>$H$12</formula>
    </cfRule>
    <cfRule type="containsText" dxfId="1072" priority="1401" operator="containsText" text="$H$13">
      <formula>NOT(ISERROR(SEARCH($H$13,E126)))</formula>
      <formula>$H$13</formula>
    </cfRule>
  </conditionalFormatting>
  <conditionalFormatting sqref="E128">
    <cfRule type="containsText" dxfId="1071" priority="1400" operator="containsText" text="$H$7">
      <formula>NOT(ISERROR(SEARCH($H$7,E128)))</formula>
      <formula>$H$7</formula>
    </cfRule>
    <cfRule type="containsText" dxfId="1070" priority="1399" operator="containsText" text="$H$8">
      <formula>NOT(ISERROR(SEARCH($H$8,E128)))</formula>
      <formula>$H$8</formula>
    </cfRule>
    <cfRule type="containsText" dxfId="1069" priority="1398" operator="containsText" text="$H$8">
      <formula>NOT(ISERROR(SEARCH($H$8,E128)))</formula>
      <formula>$H$8</formula>
    </cfRule>
    <cfRule type="containsText" dxfId="1068" priority="1397" operator="containsText" text="$H$9">
      <formula>NOT(ISERROR(SEARCH($H$9,E128)))</formula>
      <formula>$H$9</formula>
    </cfRule>
    <cfRule type="containsText" dxfId="1067" priority="1396" operator="containsText" text="$H$10">
      <formula>NOT(ISERROR(SEARCH($H$10,E128)))</formula>
      <formula>$H$10</formula>
    </cfRule>
    <cfRule type="containsText" dxfId="1066" priority="1395" operator="containsText" text="$H$11">
      <formula>NOT(ISERROR(SEARCH($H$11,E128)))</formula>
      <formula>$H$11</formula>
    </cfRule>
    <cfRule type="containsText" dxfId="1065" priority="1394" operator="containsText" text="$H$12">
      <formula>NOT(ISERROR(SEARCH($H$12,E128)))</formula>
      <formula>$H$12</formula>
    </cfRule>
    <cfRule type="containsText" dxfId="1064" priority="1393" operator="containsText" text="$H$13">
      <formula>NOT(ISERROR(SEARCH($H$13,E128)))</formula>
      <formula>$H$13</formula>
    </cfRule>
  </conditionalFormatting>
  <conditionalFormatting sqref="E128">
    <cfRule type="containsText" dxfId="1063" priority="1392" operator="containsText" text="$H$7">
      <formula>NOT(ISERROR(SEARCH($H$7,E128)))</formula>
      <formula>$H$7</formula>
    </cfRule>
    <cfRule type="containsText" dxfId="1062" priority="1391" operator="containsText" text="$H$8">
      <formula>NOT(ISERROR(SEARCH($H$8,E128)))</formula>
      <formula>$H$8</formula>
    </cfRule>
    <cfRule type="containsText" dxfId="1061" priority="1390" operator="containsText" text="$H$8">
      <formula>NOT(ISERROR(SEARCH($H$8,E128)))</formula>
      <formula>$H$8</formula>
    </cfRule>
    <cfRule type="containsText" dxfId="1060" priority="1389" operator="containsText" text="$H$9">
      <formula>NOT(ISERROR(SEARCH($H$9,E128)))</formula>
      <formula>$H$9</formula>
    </cfRule>
    <cfRule type="containsText" dxfId="1059" priority="1388" operator="containsText" text="$H$10">
      <formula>NOT(ISERROR(SEARCH($H$10,E128)))</formula>
      <formula>$H$10</formula>
    </cfRule>
    <cfRule type="containsText" dxfId="1058" priority="1387" operator="containsText" text="$H$11">
      <formula>NOT(ISERROR(SEARCH($H$11,E128)))</formula>
      <formula>$H$11</formula>
    </cfRule>
    <cfRule type="containsText" dxfId="1057" priority="1386" operator="containsText" text="$H$12">
      <formula>NOT(ISERROR(SEARCH($H$12,E128)))</formula>
      <formula>$H$12</formula>
    </cfRule>
    <cfRule type="containsText" dxfId="1056" priority="1385" operator="containsText" text="$H$13">
      <formula>NOT(ISERROR(SEARCH($H$13,E128)))</formula>
      <formula>$H$13</formula>
    </cfRule>
  </conditionalFormatting>
  <conditionalFormatting sqref="F114">
    <cfRule type="containsText" dxfId="1055" priority="1384" operator="containsText" text="$H$7">
      <formula>NOT(ISERROR(SEARCH($H$7,F114)))</formula>
      <formula>$H$7</formula>
    </cfRule>
    <cfRule type="containsText" dxfId="1054" priority="1383" operator="containsText" text="$H$8">
      <formula>NOT(ISERROR(SEARCH($H$8,F114)))</formula>
      <formula>$H$8</formula>
    </cfRule>
    <cfRule type="containsText" dxfId="1053" priority="1382" operator="containsText" text="$H$8">
      <formula>NOT(ISERROR(SEARCH($H$8,F114)))</formula>
      <formula>$H$8</formula>
    </cfRule>
    <cfRule type="containsText" dxfId="1052" priority="1381" operator="containsText" text="$H$9">
      <formula>NOT(ISERROR(SEARCH($H$9,F114)))</formula>
      <formula>$H$9</formula>
    </cfRule>
    <cfRule type="containsText" dxfId="1051" priority="1380" operator="containsText" text="$H$10">
      <formula>NOT(ISERROR(SEARCH($H$10,F114)))</formula>
      <formula>$H$10</formula>
    </cfRule>
    <cfRule type="containsText" dxfId="1050" priority="1379" operator="containsText" text="$H$11">
      <formula>NOT(ISERROR(SEARCH($H$11,F114)))</formula>
      <formula>$H$11</formula>
    </cfRule>
    <cfRule type="containsText" dxfId="1049" priority="1378" operator="containsText" text="$H$12">
      <formula>NOT(ISERROR(SEARCH($H$12,F114)))</formula>
      <formula>$H$12</formula>
    </cfRule>
    <cfRule type="containsText" dxfId="1048" priority="1377" operator="containsText" text="$H$13">
      <formula>NOT(ISERROR(SEARCH($H$13,F114)))</formula>
      <formula>$H$13</formula>
    </cfRule>
  </conditionalFormatting>
  <conditionalFormatting sqref="F114">
    <cfRule type="containsText" dxfId="1047" priority="1376" operator="containsText" text="$H$7">
      <formula>NOT(ISERROR(SEARCH($H$7,F114)))</formula>
      <formula>$H$7</formula>
    </cfRule>
    <cfRule type="containsText" dxfId="1046" priority="1375" operator="containsText" text="$H$8">
      <formula>NOT(ISERROR(SEARCH($H$8,F114)))</formula>
      <formula>$H$8</formula>
    </cfRule>
    <cfRule type="containsText" dxfId="1045" priority="1374" operator="containsText" text="$H$8">
      <formula>NOT(ISERROR(SEARCH($H$8,F114)))</formula>
      <formula>$H$8</formula>
    </cfRule>
    <cfRule type="containsText" dxfId="1044" priority="1373" operator="containsText" text="$H$9">
      <formula>NOT(ISERROR(SEARCH($H$9,F114)))</formula>
      <formula>$H$9</formula>
    </cfRule>
    <cfRule type="containsText" dxfId="1043" priority="1372" operator="containsText" text="$H$10">
      <formula>NOT(ISERROR(SEARCH($H$10,F114)))</formula>
      <formula>$H$10</formula>
    </cfRule>
    <cfRule type="containsText" dxfId="1042" priority="1371" operator="containsText" text="$H$11">
      <formula>NOT(ISERROR(SEARCH($H$11,F114)))</formula>
      <formula>$H$11</formula>
    </cfRule>
    <cfRule type="containsText" dxfId="1041" priority="1370" operator="containsText" text="$H$12">
      <formula>NOT(ISERROR(SEARCH($H$12,F114)))</formula>
      <formula>$H$12</formula>
    </cfRule>
    <cfRule type="containsText" dxfId="1040" priority="1369" operator="containsText" text="$H$13">
      <formula>NOT(ISERROR(SEARCH($H$13,F114)))</formula>
      <formula>$H$13</formula>
    </cfRule>
  </conditionalFormatting>
  <conditionalFormatting sqref="F116">
    <cfRule type="containsText" dxfId="1039" priority="1368" operator="containsText" text="$H$7">
      <formula>NOT(ISERROR(SEARCH($H$7,F116)))</formula>
      <formula>$H$7</formula>
    </cfRule>
    <cfRule type="containsText" dxfId="1038" priority="1367" operator="containsText" text="$H$8">
      <formula>NOT(ISERROR(SEARCH($H$8,F116)))</formula>
      <formula>$H$8</formula>
    </cfRule>
    <cfRule type="containsText" dxfId="1037" priority="1366" operator="containsText" text="$H$8">
      <formula>NOT(ISERROR(SEARCH($H$8,F116)))</formula>
      <formula>$H$8</formula>
    </cfRule>
    <cfRule type="containsText" dxfId="1036" priority="1365" operator="containsText" text="$H$9">
      <formula>NOT(ISERROR(SEARCH($H$9,F116)))</formula>
      <formula>$H$9</formula>
    </cfRule>
    <cfRule type="containsText" dxfId="1035" priority="1364" operator="containsText" text="$H$10">
      <formula>NOT(ISERROR(SEARCH($H$10,F116)))</formula>
      <formula>$H$10</formula>
    </cfRule>
    <cfRule type="containsText" dxfId="1034" priority="1363" operator="containsText" text="$H$11">
      <formula>NOT(ISERROR(SEARCH($H$11,F116)))</formula>
      <formula>$H$11</formula>
    </cfRule>
    <cfRule type="containsText" dxfId="1033" priority="1362" operator="containsText" text="$H$12">
      <formula>NOT(ISERROR(SEARCH($H$12,F116)))</formula>
      <formula>$H$12</formula>
    </cfRule>
    <cfRule type="containsText" dxfId="1032" priority="1361" operator="containsText" text="$H$13">
      <formula>NOT(ISERROR(SEARCH($H$13,F116)))</formula>
      <formula>$H$13</formula>
    </cfRule>
  </conditionalFormatting>
  <conditionalFormatting sqref="F116">
    <cfRule type="containsText" dxfId="1031" priority="1360" operator="containsText" text="$H$7">
      <formula>NOT(ISERROR(SEARCH($H$7,F116)))</formula>
      <formula>$H$7</formula>
    </cfRule>
    <cfRule type="containsText" dxfId="1030" priority="1359" operator="containsText" text="$H$8">
      <formula>NOT(ISERROR(SEARCH($H$8,F116)))</formula>
      <formula>$H$8</formula>
    </cfRule>
    <cfRule type="containsText" dxfId="1029" priority="1358" operator="containsText" text="$H$8">
      <formula>NOT(ISERROR(SEARCH($H$8,F116)))</formula>
      <formula>$H$8</formula>
    </cfRule>
    <cfRule type="containsText" dxfId="1028" priority="1357" operator="containsText" text="$H$9">
      <formula>NOT(ISERROR(SEARCH($H$9,F116)))</formula>
      <formula>$H$9</formula>
    </cfRule>
    <cfRule type="containsText" dxfId="1027" priority="1356" operator="containsText" text="$H$10">
      <formula>NOT(ISERROR(SEARCH($H$10,F116)))</formula>
      <formula>$H$10</formula>
    </cfRule>
    <cfRule type="containsText" dxfId="1026" priority="1355" operator="containsText" text="$H$11">
      <formula>NOT(ISERROR(SEARCH($H$11,F116)))</formula>
      <formula>$H$11</formula>
    </cfRule>
    <cfRule type="containsText" dxfId="1025" priority="1354" operator="containsText" text="$H$12">
      <formula>NOT(ISERROR(SEARCH($H$12,F116)))</formula>
      <formula>$H$12</formula>
    </cfRule>
    <cfRule type="containsText" dxfId="1024" priority="1353" operator="containsText" text="$H$13">
      <formula>NOT(ISERROR(SEARCH($H$13,F116)))</formula>
      <formula>$H$13</formula>
    </cfRule>
  </conditionalFormatting>
  <conditionalFormatting sqref="F118">
    <cfRule type="containsText" dxfId="1023" priority="1352" operator="containsText" text="$H$7">
      <formula>NOT(ISERROR(SEARCH($H$7,F118)))</formula>
      <formula>$H$7</formula>
    </cfRule>
    <cfRule type="containsText" dxfId="1022" priority="1351" operator="containsText" text="$H$8">
      <formula>NOT(ISERROR(SEARCH($H$8,F118)))</formula>
      <formula>$H$8</formula>
    </cfRule>
    <cfRule type="containsText" dxfId="1021" priority="1350" operator="containsText" text="$H$8">
      <formula>NOT(ISERROR(SEARCH($H$8,F118)))</formula>
      <formula>$H$8</formula>
    </cfRule>
    <cfRule type="containsText" dxfId="1020" priority="1349" operator="containsText" text="$H$9">
      <formula>NOT(ISERROR(SEARCH($H$9,F118)))</formula>
      <formula>$H$9</formula>
    </cfRule>
    <cfRule type="containsText" dxfId="1019" priority="1348" operator="containsText" text="$H$10">
      <formula>NOT(ISERROR(SEARCH($H$10,F118)))</formula>
      <formula>$H$10</formula>
    </cfRule>
    <cfRule type="containsText" dxfId="1018" priority="1347" operator="containsText" text="$H$11">
      <formula>NOT(ISERROR(SEARCH($H$11,F118)))</formula>
      <formula>$H$11</formula>
    </cfRule>
    <cfRule type="containsText" dxfId="1017" priority="1346" operator="containsText" text="$H$12">
      <formula>NOT(ISERROR(SEARCH($H$12,F118)))</formula>
      <formula>$H$12</formula>
    </cfRule>
    <cfRule type="containsText" dxfId="1016" priority="1345" operator="containsText" text="$H$13">
      <formula>NOT(ISERROR(SEARCH($H$13,F118)))</formula>
      <formula>$H$13</formula>
    </cfRule>
  </conditionalFormatting>
  <conditionalFormatting sqref="F118">
    <cfRule type="containsText" dxfId="1015" priority="1344" operator="containsText" text="$H$7">
      <formula>NOT(ISERROR(SEARCH($H$7,F118)))</formula>
      <formula>$H$7</formula>
    </cfRule>
    <cfRule type="containsText" dxfId="1014" priority="1343" operator="containsText" text="$H$8">
      <formula>NOT(ISERROR(SEARCH($H$8,F118)))</formula>
      <formula>$H$8</formula>
    </cfRule>
    <cfRule type="containsText" dxfId="1013" priority="1342" operator="containsText" text="$H$8">
      <formula>NOT(ISERROR(SEARCH($H$8,F118)))</formula>
      <formula>$H$8</formula>
    </cfRule>
    <cfRule type="containsText" dxfId="1012" priority="1341" operator="containsText" text="$H$9">
      <formula>NOT(ISERROR(SEARCH($H$9,F118)))</formula>
      <formula>$H$9</formula>
    </cfRule>
    <cfRule type="containsText" dxfId="1011" priority="1340" operator="containsText" text="$H$10">
      <formula>NOT(ISERROR(SEARCH($H$10,F118)))</formula>
      <formula>$H$10</formula>
    </cfRule>
    <cfRule type="containsText" dxfId="1010" priority="1339" operator="containsText" text="$H$11">
      <formula>NOT(ISERROR(SEARCH($H$11,F118)))</formula>
      <formula>$H$11</formula>
    </cfRule>
    <cfRule type="containsText" dxfId="1009" priority="1338" operator="containsText" text="$H$12">
      <formula>NOT(ISERROR(SEARCH($H$12,F118)))</formula>
      <formula>$H$12</formula>
    </cfRule>
    <cfRule type="containsText" dxfId="1008" priority="1337" operator="containsText" text="$H$13">
      <formula>NOT(ISERROR(SEARCH($H$13,F118)))</formula>
      <formula>$H$13</formula>
    </cfRule>
  </conditionalFormatting>
  <conditionalFormatting sqref="F120">
    <cfRule type="containsText" dxfId="1007" priority="1320" operator="containsText" text="$H$7">
      <formula>NOT(ISERROR(SEARCH($H$7,F120)))</formula>
      <formula>$H$7</formula>
    </cfRule>
    <cfRule type="containsText" dxfId="1006" priority="1319" operator="containsText" text="$H$8">
      <formula>NOT(ISERROR(SEARCH($H$8,F120)))</formula>
      <formula>$H$8</formula>
    </cfRule>
    <cfRule type="containsText" dxfId="1005" priority="1318" operator="containsText" text="$H$8">
      <formula>NOT(ISERROR(SEARCH($H$8,F120)))</formula>
      <formula>$H$8</formula>
    </cfRule>
    <cfRule type="containsText" dxfId="1004" priority="1317" operator="containsText" text="$H$9">
      <formula>NOT(ISERROR(SEARCH($H$9,F120)))</formula>
      <formula>$H$9</formula>
    </cfRule>
    <cfRule type="containsText" dxfId="1003" priority="1316" operator="containsText" text="$H$10">
      <formula>NOT(ISERROR(SEARCH($H$10,F120)))</formula>
      <formula>$H$10</formula>
    </cfRule>
    <cfRule type="containsText" dxfId="1002" priority="1315" operator="containsText" text="$H$11">
      <formula>NOT(ISERROR(SEARCH($H$11,F120)))</formula>
      <formula>$H$11</formula>
    </cfRule>
    <cfRule type="containsText" dxfId="1001" priority="1314" operator="containsText" text="$H$12">
      <formula>NOT(ISERROR(SEARCH($H$12,F120)))</formula>
      <formula>$H$12</formula>
    </cfRule>
    <cfRule type="containsText" dxfId="1000" priority="1313" operator="containsText" text="$H$13">
      <formula>NOT(ISERROR(SEARCH($H$13,F120)))</formula>
      <formula>$H$13</formula>
    </cfRule>
  </conditionalFormatting>
  <conditionalFormatting sqref="F120">
    <cfRule type="containsText" dxfId="999" priority="1312" operator="containsText" text="$H$7">
      <formula>NOT(ISERROR(SEARCH($H$7,F120)))</formula>
      <formula>$H$7</formula>
    </cfRule>
    <cfRule type="containsText" dxfId="998" priority="1311" operator="containsText" text="$H$8">
      <formula>NOT(ISERROR(SEARCH($H$8,F120)))</formula>
      <formula>$H$8</formula>
    </cfRule>
    <cfRule type="containsText" dxfId="997" priority="1310" operator="containsText" text="$H$8">
      <formula>NOT(ISERROR(SEARCH($H$8,F120)))</formula>
      <formula>$H$8</formula>
    </cfRule>
    <cfRule type="containsText" dxfId="996" priority="1309" operator="containsText" text="$H$9">
      <formula>NOT(ISERROR(SEARCH($H$9,F120)))</formula>
      <formula>$H$9</formula>
    </cfRule>
    <cfRule type="containsText" dxfId="995" priority="1308" operator="containsText" text="$H$10">
      <formula>NOT(ISERROR(SEARCH($H$10,F120)))</formula>
      <formula>$H$10</formula>
    </cfRule>
    <cfRule type="containsText" dxfId="994" priority="1307" operator="containsText" text="$H$11">
      <formula>NOT(ISERROR(SEARCH($H$11,F120)))</formula>
      <formula>$H$11</formula>
    </cfRule>
    <cfRule type="containsText" dxfId="993" priority="1306" operator="containsText" text="$H$12">
      <formula>NOT(ISERROR(SEARCH($H$12,F120)))</formula>
      <formula>$H$12</formula>
    </cfRule>
    <cfRule type="containsText" dxfId="992" priority="1305" operator="containsText" text="$H$13">
      <formula>NOT(ISERROR(SEARCH($H$13,F120)))</formula>
      <formula>$H$13</formula>
    </cfRule>
  </conditionalFormatting>
  <conditionalFormatting sqref="E110">
    <cfRule type="containsText" dxfId="991" priority="1240" operator="containsText" text="$H$7">
      <formula>NOT(ISERROR(SEARCH($H$7,E110)))</formula>
      <formula>$H$7</formula>
    </cfRule>
    <cfRule type="containsText" dxfId="990" priority="1239" operator="containsText" text="$H$8">
      <formula>NOT(ISERROR(SEARCH($H$8,E110)))</formula>
      <formula>$H$8</formula>
    </cfRule>
    <cfRule type="containsText" dxfId="989" priority="1238" operator="containsText" text="$H$8">
      <formula>NOT(ISERROR(SEARCH($H$8,E110)))</formula>
      <formula>$H$8</formula>
    </cfRule>
    <cfRule type="containsText" dxfId="988" priority="1237" operator="containsText" text="$H$9">
      <formula>NOT(ISERROR(SEARCH($H$9,E110)))</formula>
      <formula>$H$9</formula>
    </cfRule>
    <cfRule type="containsText" dxfId="987" priority="1236" operator="containsText" text="$H$10">
      <formula>NOT(ISERROR(SEARCH($H$10,E110)))</formula>
      <formula>$H$10</formula>
    </cfRule>
    <cfRule type="containsText" dxfId="986" priority="1235" operator="containsText" text="$H$11">
      <formula>NOT(ISERROR(SEARCH($H$11,E110)))</formula>
      <formula>$H$11</formula>
    </cfRule>
    <cfRule type="containsText" dxfId="985" priority="1234" operator="containsText" text="$H$12">
      <formula>NOT(ISERROR(SEARCH($H$12,E110)))</formula>
      <formula>$H$12</formula>
    </cfRule>
    <cfRule type="containsText" dxfId="984" priority="1233" operator="containsText" text="$H$13">
      <formula>NOT(ISERROR(SEARCH($H$13,E110)))</formula>
      <formula>$H$13</formula>
    </cfRule>
  </conditionalFormatting>
  <conditionalFormatting sqref="E110">
    <cfRule type="containsText" dxfId="983" priority="1232" operator="containsText" text="$H$7">
      <formula>NOT(ISERROR(SEARCH($H$7,E110)))</formula>
      <formula>$H$7</formula>
    </cfRule>
    <cfRule type="containsText" dxfId="982" priority="1231" operator="containsText" text="$H$8">
      <formula>NOT(ISERROR(SEARCH($H$8,E110)))</formula>
      <formula>$H$8</formula>
    </cfRule>
    <cfRule type="containsText" dxfId="981" priority="1230" operator="containsText" text="$H$8">
      <formula>NOT(ISERROR(SEARCH($H$8,E110)))</formula>
      <formula>$H$8</formula>
    </cfRule>
    <cfRule type="containsText" dxfId="980" priority="1229" operator="containsText" text="$H$9">
      <formula>NOT(ISERROR(SEARCH($H$9,E110)))</formula>
      <formula>$H$9</formula>
    </cfRule>
    <cfRule type="containsText" dxfId="979" priority="1228" operator="containsText" text="$H$10">
      <formula>NOT(ISERROR(SEARCH($H$10,E110)))</formula>
      <formula>$H$10</formula>
    </cfRule>
    <cfRule type="containsText" dxfId="978" priority="1227" operator="containsText" text="$H$11">
      <formula>NOT(ISERROR(SEARCH($H$11,E110)))</formula>
      <formula>$H$11</formula>
    </cfRule>
    <cfRule type="containsText" dxfId="977" priority="1226" operator="containsText" text="$H$12">
      <formula>NOT(ISERROR(SEARCH($H$12,E110)))</formula>
      <formula>$H$12</formula>
    </cfRule>
    <cfRule type="containsText" dxfId="976" priority="1225" operator="containsText" text="$H$13">
      <formula>NOT(ISERROR(SEARCH($H$13,E110)))</formula>
      <formula>$H$13</formula>
    </cfRule>
  </conditionalFormatting>
  <conditionalFormatting sqref="E108">
    <cfRule type="containsText" dxfId="975" priority="1224" operator="containsText" text="$H$7">
      <formula>NOT(ISERROR(SEARCH($H$7,E108)))</formula>
      <formula>$H$7</formula>
    </cfRule>
    <cfRule type="containsText" dxfId="974" priority="1223" operator="containsText" text="$H$8">
      <formula>NOT(ISERROR(SEARCH($H$8,E108)))</formula>
      <formula>$H$8</formula>
    </cfRule>
    <cfRule type="containsText" dxfId="973" priority="1222" operator="containsText" text="$H$8">
      <formula>NOT(ISERROR(SEARCH($H$8,E108)))</formula>
      <formula>$H$8</formula>
    </cfRule>
    <cfRule type="containsText" dxfId="972" priority="1221" operator="containsText" text="$H$9">
      <formula>NOT(ISERROR(SEARCH($H$9,E108)))</formula>
      <formula>$H$9</formula>
    </cfRule>
    <cfRule type="containsText" dxfId="971" priority="1220" operator="containsText" text="$H$10">
      <formula>NOT(ISERROR(SEARCH($H$10,E108)))</formula>
      <formula>$H$10</formula>
    </cfRule>
    <cfRule type="containsText" dxfId="970" priority="1219" operator="containsText" text="$H$11">
      <formula>NOT(ISERROR(SEARCH($H$11,E108)))</formula>
      <formula>$H$11</formula>
    </cfRule>
    <cfRule type="containsText" dxfId="969" priority="1218" operator="containsText" text="$H$12">
      <formula>NOT(ISERROR(SEARCH($H$12,E108)))</formula>
      <formula>$H$12</formula>
    </cfRule>
    <cfRule type="containsText" dxfId="968" priority="1217" operator="containsText" text="$H$13">
      <formula>NOT(ISERROR(SEARCH($H$13,E108)))</formula>
      <formula>$H$13</formula>
    </cfRule>
  </conditionalFormatting>
  <conditionalFormatting sqref="E108">
    <cfRule type="containsText" dxfId="967" priority="1216" operator="containsText" text="$H$7">
      <formula>NOT(ISERROR(SEARCH($H$7,E108)))</formula>
      <formula>$H$7</formula>
    </cfRule>
    <cfRule type="containsText" dxfId="966" priority="1215" operator="containsText" text="$H$8">
      <formula>NOT(ISERROR(SEARCH($H$8,E108)))</formula>
      <formula>$H$8</formula>
    </cfRule>
    <cfRule type="containsText" dxfId="965" priority="1214" operator="containsText" text="$H$8">
      <formula>NOT(ISERROR(SEARCH($H$8,E108)))</formula>
      <formula>$H$8</formula>
    </cfRule>
    <cfRule type="containsText" dxfId="964" priority="1213" operator="containsText" text="$H$9">
      <formula>NOT(ISERROR(SEARCH($H$9,E108)))</formula>
      <formula>$H$9</formula>
    </cfRule>
    <cfRule type="containsText" dxfId="963" priority="1212" operator="containsText" text="$H$10">
      <formula>NOT(ISERROR(SEARCH($H$10,E108)))</formula>
      <formula>$H$10</formula>
    </cfRule>
    <cfRule type="containsText" dxfId="962" priority="1211" operator="containsText" text="$H$11">
      <formula>NOT(ISERROR(SEARCH($H$11,E108)))</formula>
      <formula>$H$11</formula>
    </cfRule>
    <cfRule type="containsText" dxfId="961" priority="1210" operator="containsText" text="$H$12">
      <formula>NOT(ISERROR(SEARCH($H$12,E108)))</formula>
      <formula>$H$12</formula>
    </cfRule>
    <cfRule type="containsText" dxfId="960" priority="1209" operator="containsText" text="$H$13">
      <formula>NOT(ISERROR(SEARCH($H$13,E108)))</formula>
      <formula>$H$13</formula>
    </cfRule>
  </conditionalFormatting>
  <conditionalFormatting sqref="E106">
    <cfRule type="containsText" dxfId="959" priority="1208" operator="containsText" text="$H$7">
      <formula>NOT(ISERROR(SEARCH($H$7,E106)))</formula>
      <formula>$H$7</formula>
    </cfRule>
    <cfRule type="containsText" dxfId="958" priority="1207" operator="containsText" text="$H$8">
      <formula>NOT(ISERROR(SEARCH($H$8,E106)))</formula>
      <formula>$H$8</formula>
    </cfRule>
    <cfRule type="containsText" dxfId="957" priority="1206" operator="containsText" text="$H$8">
      <formula>NOT(ISERROR(SEARCH($H$8,E106)))</formula>
      <formula>$H$8</formula>
    </cfRule>
    <cfRule type="containsText" dxfId="956" priority="1205" operator="containsText" text="$H$9">
      <formula>NOT(ISERROR(SEARCH($H$9,E106)))</formula>
      <formula>$H$9</formula>
    </cfRule>
    <cfRule type="containsText" dxfId="955" priority="1204" operator="containsText" text="$H$10">
      <formula>NOT(ISERROR(SEARCH($H$10,E106)))</formula>
      <formula>$H$10</formula>
    </cfRule>
    <cfRule type="containsText" dxfId="954" priority="1203" operator="containsText" text="$H$11">
      <formula>NOT(ISERROR(SEARCH($H$11,E106)))</formula>
      <formula>$H$11</formula>
    </cfRule>
    <cfRule type="containsText" dxfId="953" priority="1202" operator="containsText" text="$H$12">
      <formula>NOT(ISERROR(SEARCH($H$12,E106)))</formula>
      <formula>$H$12</formula>
    </cfRule>
    <cfRule type="containsText" dxfId="952" priority="1201" operator="containsText" text="$H$13">
      <formula>NOT(ISERROR(SEARCH($H$13,E106)))</formula>
      <formula>$H$13</formula>
    </cfRule>
  </conditionalFormatting>
  <conditionalFormatting sqref="E106">
    <cfRule type="containsText" dxfId="951" priority="1200" operator="containsText" text="$H$7">
      <formula>NOT(ISERROR(SEARCH($H$7,E106)))</formula>
      <formula>$H$7</formula>
    </cfRule>
    <cfRule type="containsText" dxfId="950" priority="1199" operator="containsText" text="$H$8">
      <formula>NOT(ISERROR(SEARCH($H$8,E106)))</formula>
      <formula>$H$8</formula>
    </cfRule>
    <cfRule type="containsText" dxfId="949" priority="1198" operator="containsText" text="$H$8">
      <formula>NOT(ISERROR(SEARCH($H$8,E106)))</formula>
      <formula>$H$8</formula>
    </cfRule>
    <cfRule type="containsText" dxfId="948" priority="1197" operator="containsText" text="$H$9">
      <formula>NOT(ISERROR(SEARCH($H$9,E106)))</formula>
      <formula>$H$9</formula>
    </cfRule>
    <cfRule type="containsText" dxfId="947" priority="1196" operator="containsText" text="$H$10">
      <formula>NOT(ISERROR(SEARCH($H$10,E106)))</formula>
      <formula>$H$10</formula>
    </cfRule>
    <cfRule type="containsText" dxfId="946" priority="1195" operator="containsText" text="$H$11">
      <formula>NOT(ISERROR(SEARCH($H$11,E106)))</formula>
      <formula>$H$11</formula>
    </cfRule>
    <cfRule type="containsText" dxfId="945" priority="1194" operator="containsText" text="$H$12">
      <formula>NOT(ISERROR(SEARCH($H$12,E106)))</formula>
      <formula>$H$12</formula>
    </cfRule>
    <cfRule type="containsText" dxfId="944" priority="1193" operator="containsText" text="$H$13">
      <formula>NOT(ISERROR(SEARCH($H$13,E106)))</formula>
      <formula>$H$13</formula>
    </cfRule>
  </conditionalFormatting>
  <conditionalFormatting sqref="F104">
    <cfRule type="containsText" dxfId="943" priority="1176" operator="containsText" text="$H$7">
      <formula>NOT(ISERROR(SEARCH($H$7,F104)))</formula>
      <formula>$H$7</formula>
    </cfRule>
    <cfRule type="containsText" dxfId="942" priority="1175" operator="containsText" text="$H$8">
      <formula>NOT(ISERROR(SEARCH($H$8,F104)))</formula>
      <formula>$H$8</formula>
    </cfRule>
    <cfRule type="containsText" dxfId="941" priority="1174" operator="containsText" text="$H$8">
      <formula>NOT(ISERROR(SEARCH($H$8,F104)))</formula>
      <formula>$H$8</formula>
    </cfRule>
    <cfRule type="containsText" dxfId="940" priority="1173" operator="containsText" text="$H$9">
      <formula>NOT(ISERROR(SEARCH($H$9,F104)))</formula>
      <formula>$H$9</formula>
    </cfRule>
    <cfRule type="containsText" dxfId="939" priority="1172" operator="containsText" text="$H$10">
      <formula>NOT(ISERROR(SEARCH($H$10,F104)))</formula>
      <formula>$H$10</formula>
    </cfRule>
    <cfRule type="containsText" dxfId="938" priority="1171" operator="containsText" text="$H$11">
      <formula>NOT(ISERROR(SEARCH($H$11,F104)))</formula>
      <formula>$H$11</formula>
    </cfRule>
    <cfRule type="containsText" dxfId="937" priority="1170" operator="containsText" text="$H$12">
      <formula>NOT(ISERROR(SEARCH($H$12,F104)))</formula>
      <formula>$H$12</formula>
    </cfRule>
    <cfRule type="containsText" dxfId="936" priority="1169" operator="containsText" text="$H$13">
      <formula>NOT(ISERROR(SEARCH($H$13,F104)))</formula>
      <formula>$H$13</formula>
    </cfRule>
  </conditionalFormatting>
  <conditionalFormatting sqref="F104">
    <cfRule type="containsText" dxfId="935" priority="1168" operator="containsText" text="$H$7">
      <formula>NOT(ISERROR(SEARCH($H$7,F104)))</formula>
      <formula>$H$7</formula>
    </cfRule>
    <cfRule type="containsText" dxfId="934" priority="1167" operator="containsText" text="$H$8">
      <formula>NOT(ISERROR(SEARCH($H$8,F104)))</formula>
      <formula>$H$8</formula>
    </cfRule>
    <cfRule type="containsText" dxfId="933" priority="1166" operator="containsText" text="$H$8">
      <formula>NOT(ISERROR(SEARCH($H$8,F104)))</formula>
      <formula>$H$8</formula>
    </cfRule>
    <cfRule type="containsText" dxfId="932" priority="1165" operator="containsText" text="$H$9">
      <formula>NOT(ISERROR(SEARCH($H$9,F104)))</formula>
      <formula>$H$9</formula>
    </cfRule>
    <cfRule type="containsText" dxfId="931" priority="1164" operator="containsText" text="$H$10">
      <formula>NOT(ISERROR(SEARCH($H$10,F104)))</formula>
      <formula>$H$10</formula>
    </cfRule>
    <cfRule type="containsText" dxfId="930" priority="1163" operator="containsText" text="$H$11">
      <formula>NOT(ISERROR(SEARCH($H$11,F104)))</formula>
      <formula>$H$11</formula>
    </cfRule>
    <cfRule type="containsText" dxfId="929" priority="1162" operator="containsText" text="$H$12">
      <formula>NOT(ISERROR(SEARCH($H$12,F104)))</formula>
      <formula>$H$12</formula>
    </cfRule>
    <cfRule type="containsText" dxfId="928" priority="1161" operator="containsText" text="$H$13">
      <formula>NOT(ISERROR(SEARCH($H$13,F104)))</formula>
      <formula>$H$13</formula>
    </cfRule>
  </conditionalFormatting>
  <conditionalFormatting sqref="F106">
    <cfRule type="containsText" dxfId="927" priority="1160" operator="containsText" text="$H$7">
      <formula>NOT(ISERROR(SEARCH($H$7,F106)))</formula>
      <formula>$H$7</formula>
    </cfRule>
    <cfRule type="containsText" dxfId="926" priority="1159" operator="containsText" text="$H$8">
      <formula>NOT(ISERROR(SEARCH($H$8,F106)))</formula>
      <formula>$H$8</formula>
    </cfRule>
    <cfRule type="containsText" dxfId="925" priority="1158" operator="containsText" text="$H$8">
      <formula>NOT(ISERROR(SEARCH($H$8,F106)))</formula>
      <formula>$H$8</formula>
    </cfRule>
    <cfRule type="containsText" dxfId="924" priority="1157" operator="containsText" text="$H$9">
      <formula>NOT(ISERROR(SEARCH($H$9,F106)))</formula>
      <formula>$H$9</formula>
    </cfRule>
    <cfRule type="containsText" dxfId="923" priority="1156" operator="containsText" text="$H$10">
      <formula>NOT(ISERROR(SEARCH($H$10,F106)))</formula>
      <formula>$H$10</formula>
    </cfRule>
    <cfRule type="containsText" dxfId="922" priority="1155" operator="containsText" text="$H$11">
      <formula>NOT(ISERROR(SEARCH($H$11,F106)))</formula>
      <formula>$H$11</formula>
    </cfRule>
    <cfRule type="containsText" dxfId="921" priority="1154" operator="containsText" text="$H$12">
      <formula>NOT(ISERROR(SEARCH($H$12,F106)))</formula>
      <formula>$H$12</formula>
    </cfRule>
    <cfRule type="containsText" dxfId="920" priority="1153" operator="containsText" text="$H$13">
      <formula>NOT(ISERROR(SEARCH($H$13,F106)))</formula>
      <formula>$H$13</formula>
    </cfRule>
  </conditionalFormatting>
  <conditionalFormatting sqref="F106">
    <cfRule type="containsText" dxfId="919" priority="1152" operator="containsText" text="$H$7">
      <formula>NOT(ISERROR(SEARCH($H$7,F106)))</formula>
      <formula>$H$7</formula>
    </cfRule>
    <cfRule type="containsText" dxfId="918" priority="1151" operator="containsText" text="$H$8">
      <formula>NOT(ISERROR(SEARCH($H$8,F106)))</formula>
      <formula>$H$8</formula>
    </cfRule>
    <cfRule type="containsText" dxfId="917" priority="1150" operator="containsText" text="$H$8">
      <formula>NOT(ISERROR(SEARCH($H$8,F106)))</formula>
      <formula>$H$8</formula>
    </cfRule>
    <cfRule type="containsText" dxfId="916" priority="1149" operator="containsText" text="$H$9">
      <formula>NOT(ISERROR(SEARCH($H$9,F106)))</formula>
      <formula>$H$9</formula>
    </cfRule>
    <cfRule type="containsText" dxfId="915" priority="1148" operator="containsText" text="$H$10">
      <formula>NOT(ISERROR(SEARCH($H$10,F106)))</formula>
      <formula>$H$10</formula>
    </cfRule>
    <cfRule type="containsText" dxfId="914" priority="1147" operator="containsText" text="$H$11">
      <formula>NOT(ISERROR(SEARCH($H$11,F106)))</formula>
      <formula>$H$11</formula>
    </cfRule>
    <cfRule type="containsText" dxfId="913" priority="1146" operator="containsText" text="$H$12">
      <formula>NOT(ISERROR(SEARCH($H$12,F106)))</formula>
      <formula>$H$12</formula>
    </cfRule>
    <cfRule type="containsText" dxfId="912" priority="1145" operator="containsText" text="$H$13">
      <formula>NOT(ISERROR(SEARCH($H$13,F106)))</formula>
      <formula>$H$13</formula>
    </cfRule>
  </conditionalFormatting>
  <conditionalFormatting sqref="F108">
    <cfRule type="containsText" dxfId="911" priority="1144" operator="containsText" text="$H$7">
      <formula>NOT(ISERROR(SEARCH($H$7,F108)))</formula>
      <formula>$H$7</formula>
    </cfRule>
    <cfRule type="containsText" dxfId="910" priority="1143" operator="containsText" text="$H$8">
      <formula>NOT(ISERROR(SEARCH($H$8,F108)))</formula>
      <formula>$H$8</formula>
    </cfRule>
    <cfRule type="containsText" dxfId="909" priority="1142" operator="containsText" text="$H$8">
      <formula>NOT(ISERROR(SEARCH($H$8,F108)))</formula>
      <formula>$H$8</formula>
    </cfRule>
    <cfRule type="containsText" dxfId="908" priority="1141" operator="containsText" text="$H$9">
      <formula>NOT(ISERROR(SEARCH($H$9,F108)))</formula>
      <formula>$H$9</formula>
    </cfRule>
    <cfRule type="containsText" dxfId="907" priority="1140" operator="containsText" text="$H$10">
      <formula>NOT(ISERROR(SEARCH($H$10,F108)))</formula>
      <formula>$H$10</formula>
    </cfRule>
    <cfRule type="containsText" dxfId="906" priority="1139" operator="containsText" text="$H$11">
      <formula>NOT(ISERROR(SEARCH($H$11,F108)))</formula>
      <formula>$H$11</formula>
    </cfRule>
    <cfRule type="containsText" dxfId="905" priority="1138" operator="containsText" text="$H$12">
      <formula>NOT(ISERROR(SEARCH($H$12,F108)))</formula>
      <formula>$H$12</formula>
    </cfRule>
    <cfRule type="containsText" dxfId="904" priority="1137" operator="containsText" text="$H$13">
      <formula>NOT(ISERROR(SEARCH($H$13,F108)))</formula>
      <formula>$H$13</formula>
    </cfRule>
  </conditionalFormatting>
  <conditionalFormatting sqref="F108">
    <cfRule type="containsText" dxfId="903" priority="1136" operator="containsText" text="$H$7">
      <formula>NOT(ISERROR(SEARCH($H$7,F108)))</formula>
      <formula>$H$7</formula>
    </cfRule>
    <cfRule type="containsText" dxfId="902" priority="1135" operator="containsText" text="$H$8">
      <formula>NOT(ISERROR(SEARCH($H$8,F108)))</formula>
      <formula>$H$8</formula>
    </cfRule>
    <cfRule type="containsText" dxfId="901" priority="1134" operator="containsText" text="$H$8">
      <formula>NOT(ISERROR(SEARCH($H$8,F108)))</formula>
      <formula>$H$8</formula>
    </cfRule>
    <cfRule type="containsText" dxfId="900" priority="1133" operator="containsText" text="$H$9">
      <formula>NOT(ISERROR(SEARCH($H$9,F108)))</formula>
      <formula>$H$9</formula>
    </cfRule>
    <cfRule type="containsText" dxfId="899" priority="1132" operator="containsText" text="$H$10">
      <formula>NOT(ISERROR(SEARCH($H$10,F108)))</formula>
      <formula>$H$10</formula>
    </cfRule>
    <cfRule type="containsText" dxfId="898" priority="1131" operator="containsText" text="$H$11">
      <formula>NOT(ISERROR(SEARCH($H$11,F108)))</formula>
      <formula>$H$11</formula>
    </cfRule>
    <cfRule type="containsText" dxfId="897" priority="1130" operator="containsText" text="$H$12">
      <formula>NOT(ISERROR(SEARCH($H$12,F108)))</formula>
      <formula>$H$12</formula>
    </cfRule>
    <cfRule type="containsText" dxfId="896" priority="1129" operator="containsText" text="$H$13">
      <formula>NOT(ISERROR(SEARCH($H$13,F108)))</formula>
      <formula>$H$13</formula>
    </cfRule>
  </conditionalFormatting>
  <conditionalFormatting sqref="F110">
    <cfRule type="containsText" dxfId="895" priority="1128" operator="containsText" text="$H$7">
      <formula>NOT(ISERROR(SEARCH($H$7,F110)))</formula>
      <formula>$H$7</formula>
    </cfRule>
    <cfRule type="containsText" dxfId="894" priority="1127" operator="containsText" text="$H$8">
      <formula>NOT(ISERROR(SEARCH($H$8,F110)))</formula>
      <formula>$H$8</formula>
    </cfRule>
    <cfRule type="containsText" dxfId="893" priority="1126" operator="containsText" text="$H$8">
      <formula>NOT(ISERROR(SEARCH($H$8,F110)))</formula>
      <formula>$H$8</formula>
    </cfRule>
    <cfRule type="containsText" dxfId="892" priority="1125" operator="containsText" text="$H$9">
      <formula>NOT(ISERROR(SEARCH($H$9,F110)))</formula>
      <formula>$H$9</formula>
    </cfRule>
    <cfRule type="containsText" dxfId="891" priority="1124" operator="containsText" text="$H$10">
      <formula>NOT(ISERROR(SEARCH($H$10,F110)))</formula>
      <formula>$H$10</formula>
    </cfRule>
    <cfRule type="containsText" dxfId="890" priority="1123" operator="containsText" text="$H$11">
      <formula>NOT(ISERROR(SEARCH($H$11,F110)))</formula>
      <formula>$H$11</formula>
    </cfRule>
    <cfRule type="containsText" dxfId="889" priority="1122" operator="containsText" text="$H$12">
      <formula>NOT(ISERROR(SEARCH($H$12,F110)))</formula>
      <formula>$H$12</formula>
    </cfRule>
    <cfRule type="containsText" dxfId="888" priority="1121" operator="containsText" text="$H$13">
      <formula>NOT(ISERROR(SEARCH($H$13,F110)))</formula>
      <formula>$H$13</formula>
    </cfRule>
  </conditionalFormatting>
  <conditionalFormatting sqref="F110">
    <cfRule type="containsText" dxfId="887" priority="1120" operator="containsText" text="$H$7">
      <formula>NOT(ISERROR(SEARCH($H$7,F110)))</formula>
      <formula>$H$7</formula>
    </cfRule>
    <cfRule type="containsText" dxfId="886" priority="1119" operator="containsText" text="$H$8">
      <formula>NOT(ISERROR(SEARCH($H$8,F110)))</formula>
      <formula>$H$8</formula>
    </cfRule>
    <cfRule type="containsText" dxfId="885" priority="1118" operator="containsText" text="$H$8">
      <formula>NOT(ISERROR(SEARCH($H$8,F110)))</formula>
      <formula>$H$8</formula>
    </cfRule>
    <cfRule type="containsText" dxfId="884" priority="1117" operator="containsText" text="$H$9">
      <formula>NOT(ISERROR(SEARCH($H$9,F110)))</formula>
      <formula>$H$9</formula>
    </cfRule>
    <cfRule type="containsText" dxfId="883" priority="1116" operator="containsText" text="$H$10">
      <formula>NOT(ISERROR(SEARCH($H$10,F110)))</formula>
      <formula>$H$10</formula>
    </cfRule>
    <cfRule type="containsText" dxfId="882" priority="1115" operator="containsText" text="$H$11">
      <formula>NOT(ISERROR(SEARCH($H$11,F110)))</formula>
      <formula>$H$11</formula>
    </cfRule>
    <cfRule type="containsText" dxfId="881" priority="1114" operator="containsText" text="$H$12">
      <formula>NOT(ISERROR(SEARCH($H$12,F110)))</formula>
      <formula>$H$12</formula>
    </cfRule>
    <cfRule type="containsText" dxfId="880" priority="1113" operator="containsText" text="$H$13">
      <formula>NOT(ISERROR(SEARCH($H$13,F110)))</formula>
      <formula>$H$13</formula>
    </cfRule>
  </conditionalFormatting>
  <conditionalFormatting sqref="B104">
    <cfRule type="containsText" dxfId="879" priority="1112" operator="containsText" text="$H$7">
      <formula>NOT(ISERROR(SEARCH($H$7,B104)))</formula>
      <formula>$H$7</formula>
    </cfRule>
    <cfRule type="containsText" dxfId="878" priority="1111" operator="containsText" text="$H$8">
      <formula>NOT(ISERROR(SEARCH($H$8,B104)))</formula>
      <formula>$H$8</formula>
    </cfRule>
    <cfRule type="containsText" dxfId="877" priority="1110" operator="containsText" text="$H$8">
      <formula>NOT(ISERROR(SEARCH($H$8,B104)))</formula>
      <formula>$H$8</formula>
    </cfRule>
    <cfRule type="containsText" dxfId="876" priority="1109" operator="containsText" text="$H$9">
      <formula>NOT(ISERROR(SEARCH($H$9,B104)))</formula>
      <formula>$H$9</formula>
    </cfRule>
    <cfRule type="containsText" dxfId="875" priority="1108" operator="containsText" text="$H$10">
      <formula>NOT(ISERROR(SEARCH($H$10,B104)))</formula>
      <formula>$H$10</formula>
    </cfRule>
    <cfRule type="containsText" dxfId="874" priority="1107" operator="containsText" text="$H$11">
      <formula>NOT(ISERROR(SEARCH($H$11,B104)))</formula>
      <formula>$H$11</formula>
    </cfRule>
    <cfRule type="containsText" dxfId="873" priority="1106" operator="containsText" text="$H$12">
      <formula>NOT(ISERROR(SEARCH($H$12,B104)))</formula>
      <formula>$H$12</formula>
    </cfRule>
    <cfRule type="containsText" dxfId="872" priority="1105" operator="containsText" text="$H$13">
      <formula>NOT(ISERROR(SEARCH($H$13,B104)))</formula>
      <formula>$H$13</formula>
    </cfRule>
  </conditionalFormatting>
  <conditionalFormatting sqref="B106">
    <cfRule type="containsText" dxfId="871" priority="1104" operator="containsText" text="$H$7">
      <formula>NOT(ISERROR(SEARCH($H$7,B106)))</formula>
      <formula>$H$7</formula>
    </cfRule>
    <cfRule type="containsText" dxfId="870" priority="1103" operator="containsText" text="$H$8">
      <formula>NOT(ISERROR(SEARCH($H$8,B106)))</formula>
      <formula>$H$8</formula>
    </cfRule>
    <cfRule type="containsText" dxfId="869" priority="1102" operator="containsText" text="$H$8">
      <formula>NOT(ISERROR(SEARCH($H$8,B106)))</formula>
      <formula>$H$8</formula>
    </cfRule>
    <cfRule type="containsText" dxfId="868" priority="1101" operator="containsText" text="$H$9">
      <formula>NOT(ISERROR(SEARCH($H$9,B106)))</formula>
      <formula>$H$9</formula>
    </cfRule>
    <cfRule type="containsText" dxfId="867" priority="1100" operator="containsText" text="$H$10">
      <formula>NOT(ISERROR(SEARCH($H$10,B106)))</formula>
      <formula>$H$10</formula>
    </cfRule>
    <cfRule type="containsText" dxfId="866" priority="1099" operator="containsText" text="$H$11">
      <formula>NOT(ISERROR(SEARCH($H$11,B106)))</formula>
      <formula>$H$11</formula>
    </cfRule>
    <cfRule type="containsText" dxfId="865" priority="1098" operator="containsText" text="$H$12">
      <formula>NOT(ISERROR(SEARCH($H$12,B106)))</formula>
      <formula>$H$12</formula>
    </cfRule>
    <cfRule type="containsText" dxfId="864" priority="1097" operator="containsText" text="$H$13">
      <formula>NOT(ISERROR(SEARCH($H$13,B106)))</formula>
      <formula>$H$13</formula>
    </cfRule>
  </conditionalFormatting>
  <conditionalFormatting sqref="B108">
    <cfRule type="containsText" dxfId="863" priority="1096" operator="containsText" text="$H$7">
      <formula>NOT(ISERROR(SEARCH($H$7,B108)))</formula>
      <formula>$H$7</formula>
    </cfRule>
    <cfRule type="containsText" dxfId="862" priority="1095" operator="containsText" text="$H$8">
      <formula>NOT(ISERROR(SEARCH($H$8,B108)))</formula>
      <formula>$H$8</formula>
    </cfRule>
    <cfRule type="containsText" dxfId="861" priority="1094" operator="containsText" text="$H$8">
      <formula>NOT(ISERROR(SEARCH($H$8,B108)))</formula>
      <formula>$H$8</formula>
    </cfRule>
    <cfRule type="containsText" dxfId="860" priority="1093" operator="containsText" text="$H$9">
      <formula>NOT(ISERROR(SEARCH($H$9,B108)))</formula>
      <formula>$H$9</formula>
    </cfRule>
    <cfRule type="containsText" dxfId="859" priority="1092" operator="containsText" text="$H$10">
      <formula>NOT(ISERROR(SEARCH($H$10,B108)))</formula>
      <formula>$H$10</formula>
    </cfRule>
    <cfRule type="containsText" dxfId="858" priority="1091" operator="containsText" text="$H$11">
      <formula>NOT(ISERROR(SEARCH($H$11,B108)))</formula>
      <formula>$H$11</formula>
    </cfRule>
    <cfRule type="containsText" dxfId="857" priority="1090" operator="containsText" text="$H$12">
      <formula>NOT(ISERROR(SEARCH($H$12,B108)))</formula>
      <formula>$H$12</formula>
    </cfRule>
    <cfRule type="containsText" dxfId="856" priority="1089" operator="containsText" text="$H$13">
      <formula>NOT(ISERROR(SEARCH($H$13,B108)))</formula>
      <formula>$H$13</formula>
    </cfRule>
  </conditionalFormatting>
  <conditionalFormatting sqref="B110">
    <cfRule type="containsText" dxfId="855" priority="1088" operator="containsText" text="$H$7">
      <formula>NOT(ISERROR(SEARCH($H$7,B110)))</formula>
      <formula>$H$7</formula>
    </cfRule>
    <cfRule type="containsText" dxfId="854" priority="1087" operator="containsText" text="$H$8">
      <formula>NOT(ISERROR(SEARCH($H$8,B110)))</formula>
      <formula>$H$8</formula>
    </cfRule>
    <cfRule type="containsText" dxfId="853" priority="1086" operator="containsText" text="$H$8">
      <formula>NOT(ISERROR(SEARCH($H$8,B110)))</formula>
      <formula>$H$8</formula>
    </cfRule>
    <cfRule type="containsText" dxfId="852" priority="1085" operator="containsText" text="$H$9">
      <formula>NOT(ISERROR(SEARCH($H$9,B110)))</formula>
      <formula>$H$9</formula>
    </cfRule>
    <cfRule type="containsText" dxfId="851" priority="1084" operator="containsText" text="$H$10">
      <formula>NOT(ISERROR(SEARCH($H$10,B110)))</formula>
      <formula>$H$10</formula>
    </cfRule>
    <cfRule type="containsText" dxfId="850" priority="1083" operator="containsText" text="$H$11">
      <formula>NOT(ISERROR(SEARCH($H$11,B110)))</formula>
      <formula>$H$11</formula>
    </cfRule>
    <cfRule type="containsText" dxfId="849" priority="1082" operator="containsText" text="$H$12">
      <formula>NOT(ISERROR(SEARCH($H$12,B110)))</formula>
      <formula>$H$12</formula>
    </cfRule>
    <cfRule type="containsText" dxfId="848" priority="1081" operator="containsText" text="$H$13">
      <formula>NOT(ISERROR(SEARCH($H$13,B110)))</formula>
      <formula>$H$13</formula>
    </cfRule>
  </conditionalFormatting>
  <conditionalFormatting sqref="C110">
    <cfRule type="containsText" dxfId="847" priority="1080" operator="containsText" text="$H$7">
      <formula>NOT(ISERROR(SEARCH($H$7,C110)))</formula>
      <formula>$H$7</formula>
    </cfRule>
    <cfRule type="containsText" dxfId="846" priority="1079" operator="containsText" text="$H$8">
      <formula>NOT(ISERROR(SEARCH($H$8,C110)))</formula>
      <formula>$H$8</formula>
    </cfRule>
    <cfRule type="containsText" dxfId="845" priority="1078" operator="containsText" text="$H$8">
      <formula>NOT(ISERROR(SEARCH($H$8,C110)))</formula>
      <formula>$H$8</formula>
    </cfRule>
    <cfRule type="containsText" dxfId="844" priority="1077" operator="containsText" text="$H$9">
      <formula>NOT(ISERROR(SEARCH($H$9,C110)))</formula>
      <formula>$H$9</formula>
    </cfRule>
    <cfRule type="containsText" dxfId="843" priority="1076" operator="containsText" text="$H$10">
      <formula>NOT(ISERROR(SEARCH($H$10,C110)))</formula>
      <formula>$H$10</formula>
    </cfRule>
    <cfRule type="containsText" dxfId="842" priority="1075" operator="containsText" text="$H$11">
      <formula>NOT(ISERROR(SEARCH($H$11,C110)))</formula>
      <formula>$H$11</formula>
    </cfRule>
    <cfRule type="containsText" dxfId="841" priority="1074" operator="containsText" text="$H$12">
      <formula>NOT(ISERROR(SEARCH($H$12,C110)))</formula>
      <formula>$H$12</formula>
    </cfRule>
    <cfRule type="containsText" dxfId="840" priority="1073" operator="containsText" text="$H$13">
      <formula>NOT(ISERROR(SEARCH($H$13,C110)))</formula>
      <formula>$H$13</formula>
    </cfRule>
  </conditionalFormatting>
  <conditionalFormatting sqref="C108">
    <cfRule type="containsText" dxfId="839" priority="1072" operator="containsText" text="$H$7">
      <formula>NOT(ISERROR(SEARCH($H$7,C108)))</formula>
      <formula>$H$7</formula>
    </cfRule>
    <cfRule type="containsText" dxfId="838" priority="1071" operator="containsText" text="$H$8">
      <formula>NOT(ISERROR(SEARCH($H$8,C108)))</formula>
      <formula>$H$8</formula>
    </cfRule>
    <cfRule type="containsText" dxfId="837" priority="1070" operator="containsText" text="$H$8">
      <formula>NOT(ISERROR(SEARCH($H$8,C108)))</formula>
      <formula>$H$8</formula>
    </cfRule>
    <cfRule type="containsText" dxfId="836" priority="1069" operator="containsText" text="$H$9">
      <formula>NOT(ISERROR(SEARCH($H$9,C108)))</formula>
      <formula>$H$9</formula>
    </cfRule>
    <cfRule type="containsText" dxfId="835" priority="1068" operator="containsText" text="$H$10">
      <formula>NOT(ISERROR(SEARCH($H$10,C108)))</formula>
      <formula>$H$10</formula>
    </cfRule>
    <cfRule type="containsText" dxfId="834" priority="1067" operator="containsText" text="$H$11">
      <formula>NOT(ISERROR(SEARCH($H$11,C108)))</formula>
      <formula>$H$11</formula>
    </cfRule>
    <cfRule type="containsText" dxfId="833" priority="1066" operator="containsText" text="$H$12">
      <formula>NOT(ISERROR(SEARCH($H$12,C108)))</formula>
      <formula>$H$12</formula>
    </cfRule>
    <cfRule type="containsText" dxfId="832" priority="1065" operator="containsText" text="$H$13">
      <formula>NOT(ISERROR(SEARCH($H$13,C108)))</formula>
      <formula>$H$13</formula>
    </cfRule>
  </conditionalFormatting>
  <conditionalFormatting sqref="C106">
    <cfRule type="containsText" dxfId="831" priority="1064" operator="containsText" text="$H$7">
      <formula>NOT(ISERROR(SEARCH($H$7,C106)))</formula>
      <formula>$H$7</formula>
    </cfRule>
    <cfRule type="containsText" dxfId="830" priority="1063" operator="containsText" text="$H$8">
      <formula>NOT(ISERROR(SEARCH($H$8,C106)))</formula>
      <formula>$H$8</formula>
    </cfRule>
    <cfRule type="containsText" dxfId="829" priority="1062" operator="containsText" text="$H$8">
      <formula>NOT(ISERROR(SEARCH($H$8,C106)))</formula>
      <formula>$H$8</formula>
    </cfRule>
    <cfRule type="containsText" dxfId="828" priority="1061" operator="containsText" text="$H$9">
      <formula>NOT(ISERROR(SEARCH($H$9,C106)))</formula>
      <formula>$H$9</formula>
    </cfRule>
    <cfRule type="containsText" dxfId="827" priority="1060" operator="containsText" text="$H$10">
      <formula>NOT(ISERROR(SEARCH($H$10,C106)))</formula>
      <formula>$H$10</formula>
    </cfRule>
    <cfRule type="containsText" dxfId="826" priority="1059" operator="containsText" text="$H$11">
      <formula>NOT(ISERROR(SEARCH($H$11,C106)))</formula>
      <formula>$H$11</formula>
    </cfRule>
    <cfRule type="containsText" dxfId="825" priority="1058" operator="containsText" text="$H$12">
      <formula>NOT(ISERROR(SEARCH($H$12,C106)))</formula>
      <formula>$H$12</formula>
    </cfRule>
    <cfRule type="containsText" dxfId="824" priority="1057" operator="containsText" text="$H$13">
      <formula>NOT(ISERROR(SEARCH($H$13,C106)))</formula>
      <formula>$H$13</formula>
    </cfRule>
  </conditionalFormatting>
  <conditionalFormatting sqref="C104">
    <cfRule type="containsText" dxfId="823" priority="1056" operator="containsText" text="$H$7">
      <formula>NOT(ISERROR(SEARCH($H$7,C104)))</formula>
      <formula>$H$7</formula>
    </cfRule>
    <cfRule type="containsText" dxfId="822" priority="1055" operator="containsText" text="$H$8">
      <formula>NOT(ISERROR(SEARCH($H$8,C104)))</formula>
      <formula>$H$8</formula>
    </cfRule>
    <cfRule type="containsText" dxfId="821" priority="1054" operator="containsText" text="$H$8">
      <formula>NOT(ISERROR(SEARCH($H$8,C104)))</formula>
      <formula>$H$8</formula>
    </cfRule>
    <cfRule type="containsText" dxfId="820" priority="1053" operator="containsText" text="$H$9">
      <formula>NOT(ISERROR(SEARCH($H$9,C104)))</formula>
      <formula>$H$9</formula>
    </cfRule>
    <cfRule type="containsText" dxfId="819" priority="1052" operator="containsText" text="$H$10">
      <formula>NOT(ISERROR(SEARCH($H$10,C104)))</formula>
      <formula>$H$10</formula>
    </cfRule>
    <cfRule type="containsText" dxfId="818" priority="1051" operator="containsText" text="$H$11">
      <formula>NOT(ISERROR(SEARCH($H$11,C104)))</formula>
      <formula>$H$11</formula>
    </cfRule>
    <cfRule type="containsText" dxfId="817" priority="1050" operator="containsText" text="$H$12">
      <formula>NOT(ISERROR(SEARCH($H$12,C104)))</formula>
      <formula>$H$12</formula>
    </cfRule>
    <cfRule type="containsText" dxfId="816" priority="1049" operator="containsText" text="$H$13">
      <formula>NOT(ISERROR(SEARCH($H$13,C104)))</formula>
      <formula>$H$13</formula>
    </cfRule>
  </conditionalFormatting>
  <conditionalFormatting sqref="E104">
    <cfRule type="containsText" dxfId="815" priority="1016" operator="containsText" text="$H$7">
      <formula>NOT(ISERROR(SEARCH($H$7,E104)))</formula>
      <formula>$H$7</formula>
    </cfRule>
    <cfRule type="containsText" dxfId="814" priority="1015" operator="containsText" text="$H$8">
      <formula>NOT(ISERROR(SEARCH($H$8,E104)))</formula>
      <formula>$H$8</formula>
    </cfRule>
    <cfRule type="containsText" dxfId="813" priority="1014" operator="containsText" text="$H$8">
      <formula>NOT(ISERROR(SEARCH($H$8,E104)))</formula>
      <formula>$H$8</formula>
    </cfRule>
    <cfRule type="containsText" dxfId="812" priority="1013" operator="containsText" text="$H$9">
      <formula>NOT(ISERROR(SEARCH($H$9,E104)))</formula>
      <formula>$H$9</formula>
    </cfRule>
    <cfRule type="containsText" dxfId="811" priority="1012" operator="containsText" text="$H$10">
      <formula>NOT(ISERROR(SEARCH($H$10,E104)))</formula>
      <formula>$H$10</formula>
    </cfRule>
    <cfRule type="containsText" dxfId="810" priority="1011" operator="containsText" text="$H$11">
      <formula>NOT(ISERROR(SEARCH($H$11,E104)))</formula>
      <formula>$H$11</formula>
    </cfRule>
    <cfRule type="containsText" dxfId="809" priority="1010" operator="containsText" text="$H$12">
      <formula>NOT(ISERROR(SEARCH($H$12,E104)))</formula>
      <formula>$H$12</formula>
    </cfRule>
    <cfRule type="containsText" dxfId="808" priority="1009" operator="containsText" text="$H$13">
      <formula>NOT(ISERROR(SEARCH($H$13,E104)))</formula>
      <formula>$H$13</formula>
    </cfRule>
  </conditionalFormatting>
  <conditionalFormatting sqref="B140">
    <cfRule type="containsText" dxfId="807" priority="1008" operator="containsText" text="$H$7">
      <formula>NOT(ISERROR(SEARCH($H$7,B140)))</formula>
      <formula>$H$7</formula>
    </cfRule>
    <cfRule type="containsText" dxfId="806" priority="1007" operator="containsText" text="$H$8">
      <formula>NOT(ISERROR(SEARCH($H$8,B140)))</formula>
      <formula>$H$8</formula>
    </cfRule>
    <cfRule type="containsText" dxfId="805" priority="1006" operator="containsText" text="$H$8">
      <formula>NOT(ISERROR(SEARCH($H$8,B140)))</formula>
      <formula>$H$8</formula>
    </cfRule>
    <cfRule type="containsText" dxfId="804" priority="1005" operator="containsText" text="$H$9">
      <formula>NOT(ISERROR(SEARCH($H$9,B140)))</formula>
      <formula>$H$9</formula>
    </cfRule>
    <cfRule type="containsText" dxfId="803" priority="1004" operator="containsText" text="$H$10">
      <formula>NOT(ISERROR(SEARCH($H$10,B140)))</formula>
      <formula>$H$10</formula>
    </cfRule>
    <cfRule type="containsText" dxfId="802" priority="1003" operator="containsText" text="$H$11">
      <formula>NOT(ISERROR(SEARCH($H$11,B140)))</formula>
      <formula>$H$11</formula>
    </cfRule>
    <cfRule type="containsText" dxfId="801" priority="1002" operator="containsText" text="$H$12">
      <formula>NOT(ISERROR(SEARCH($H$12,B140)))</formula>
      <formula>$H$12</formula>
    </cfRule>
    <cfRule type="containsText" dxfId="800" priority="1001" operator="containsText" text="$H$13">
      <formula>NOT(ISERROR(SEARCH($H$13,B140)))</formula>
      <formula>$H$13</formula>
    </cfRule>
  </conditionalFormatting>
  <conditionalFormatting sqref="B140">
    <cfRule type="containsText" dxfId="799" priority="1000" operator="containsText" text="$H$7">
      <formula>NOT(ISERROR(SEARCH($H$7,B140)))</formula>
      <formula>$H$7</formula>
    </cfRule>
    <cfRule type="containsText" dxfId="798" priority="999" operator="containsText" text="$H$8">
      <formula>NOT(ISERROR(SEARCH($H$8,B140)))</formula>
      <formula>$H$8</formula>
    </cfRule>
    <cfRule type="containsText" dxfId="797" priority="998" operator="containsText" text="$H$8">
      <formula>NOT(ISERROR(SEARCH($H$8,B140)))</formula>
      <formula>$H$8</formula>
    </cfRule>
    <cfRule type="containsText" dxfId="796" priority="997" operator="containsText" text="$H$9">
      <formula>NOT(ISERROR(SEARCH($H$9,B140)))</formula>
      <formula>$H$9</formula>
    </cfRule>
    <cfRule type="containsText" dxfId="795" priority="996" operator="containsText" text="$H$10">
      <formula>NOT(ISERROR(SEARCH($H$10,B140)))</formula>
      <formula>$H$10</formula>
    </cfRule>
    <cfRule type="containsText" dxfId="794" priority="995" operator="containsText" text="$H$11">
      <formula>NOT(ISERROR(SEARCH($H$11,B140)))</formula>
      <formula>$H$11</formula>
    </cfRule>
    <cfRule type="containsText" dxfId="793" priority="994" operator="containsText" text="$H$12">
      <formula>NOT(ISERROR(SEARCH($H$12,B140)))</formula>
      <formula>$H$12</formula>
    </cfRule>
    <cfRule type="containsText" dxfId="792" priority="993" operator="containsText" text="$H$13">
      <formula>NOT(ISERROR(SEARCH($H$13,B140)))</formula>
      <formula>$H$13</formula>
    </cfRule>
  </conditionalFormatting>
  <conditionalFormatting sqref="B142">
    <cfRule type="containsText" dxfId="791" priority="992" operator="containsText" text="$H$7">
      <formula>NOT(ISERROR(SEARCH($H$7,B142)))</formula>
      <formula>$H$7</formula>
    </cfRule>
    <cfRule type="containsText" dxfId="790" priority="991" operator="containsText" text="$H$8">
      <formula>NOT(ISERROR(SEARCH($H$8,B142)))</formula>
      <formula>$H$8</formula>
    </cfRule>
    <cfRule type="containsText" dxfId="789" priority="990" operator="containsText" text="$H$8">
      <formula>NOT(ISERROR(SEARCH($H$8,B142)))</formula>
      <formula>$H$8</formula>
    </cfRule>
    <cfRule type="containsText" dxfId="788" priority="989" operator="containsText" text="$H$9">
      <formula>NOT(ISERROR(SEARCH($H$9,B142)))</formula>
      <formula>$H$9</formula>
    </cfRule>
    <cfRule type="containsText" dxfId="787" priority="988" operator="containsText" text="$H$10">
      <formula>NOT(ISERROR(SEARCH($H$10,B142)))</formula>
      <formula>$H$10</formula>
    </cfRule>
    <cfRule type="containsText" dxfId="786" priority="987" operator="containsText" text="$H$11">
      <formula>NOT(ISERROR(SEARCH($H$11,B142)))</formula>
      <formula>$H$11</formula>
    </cfRule>
    <cfRule type="containsText" dxfId="785" priority="986" operator="containsText" text="$H$12">
      <formula>NOT(ISERROR(SEARCH($H$12,B142)))</formula>
      <formula>$H$12</formula>
    </cfRule>
    <cfRule type="containsText" dxfId="784" priority="985" operator="containsText" text="$H$13">
      <formula>NOT(ISERROR(SEARCH($H$13,B142)))</formula>
      <formula>$H$13</formula>
    </cfRule>
  </conditionalFormatting>
  <conditionalFormatting sqref="B142">
    <cfRule type="containsText" dxfId="783" priority="984" operator="containsText" text="$H$7">
      <formula>NOT(ISERROR(SEARCH($H$7,B142)))</formula>
      <formula>$H$7</formula>
    </cfRule>
    <cfRule type="containsText" dxfId="782" priority="983" operator="containsText" text="$H$8">
      <formula>NOT(ISERROR(SEARCH($H$8,B142)))</formula>
      <formula>$H$8</formula>
    </cfRule>
    <cfRule type="containsText" dxfId="781" priority="982" operator="containsText" text="$H$8">
      <formula>NOT(ISERROR(SEARCH($H$8,B142)))</formula>
      <formula>$H$8</formula>
    </cfRule>
    <cfRule type="containsText" dxfId="780" priority="981" operator="containsText" text="$H$9">
      <formula>NOT(ISERROR(SEARCH($H$9,B142)))</formula>
      <formula>$H$9</formula>
    </cfRule>
    <cfRule type="containsText" dxfId="779" priority="980" operator="containsText" text="$H$10">
      <formula>NOT(ISERROR(SEARCH($H$10,B142)))</formula>
      <formula>$H$10</formula>
    </cfRule>
    <cfRule type="containsText" dxfId="778" priority="979" operator="containsText" text="$H$11">
      <formula>NOT(ISERROR(SEARCH($H$11,B142)))</formula>
      <formula>$H$11</formula>
    </cfRule>
    <cfRule type="containsText" dxfId="777" priority="978" operator="containsText" text="$H$12">
      <formula>NOT(ISERROR(SEARCH($H$12,B142)))</formula>
      <formula>$H$12</formula>
    </cfRule>
    <cfRule type="containsText" dxfId="776" priority="977" operator="containsText" text="$H$13">
      <formula>NOT(ISERROR(SEARCH($H$13,B142)))</formula>
      <formula>$H$13</formula>
    </cfRule>
  </conditionalFormatting>
  <conditionalFormatting sqref="B144">
    <cfRule type="containsText" dxfId="775" priority="976" operator="containsText" text="$H$7">
      <formula>NOT(ISERROR(SEARCH($H$7,B144)))</formula>
      <formula>$H$7</formula>
    </cfRule>
    <cfRule type="containsText" dxfId="774" priority="975" operator="containsText" text="$H$8">
      <formula>NOT(ISERROR(SEARCH($H$8,B144)))</formula>
      <formula>$H$8</formula>
    </cfRule>
    <cfRule type="containsText" dxfId="773" priority="974" operator="containsText" text="$H$8">
      <formula>NOT(ISERROR(SEARCH($H$8,B144)))</formula>
      <formula>$H$8</formula>
    </cfRule>
    <cfRule type="containsText" dxfId="772" priority="973" operator="containsText" text="$H$9">
      <formula>NOT(ISERROR(SEARCH($H$9,B144)))</formula>
      <formula>$H$9</formula>
    </cfRule>
    <cfRule type="containsText" dxfId="771" priority="972" operator="containsText" text="$H$10">
      <formula>NOT(ISERROR(SEARCH($H$10,B144)))</formula>
      <formula>$H$10</formula>
    </cfRule>
    <cfRule type="containsText" dxfId="770" priority="971" operator="containsText" text="$H$11">
      <formula>NOT(ISERROR(SEARCH($H$11,B144)))</formula>
      <formula>$H$11</formula>
    </cfRule>
    <cfRule type="containsText" dxfId="769" priority="970" operator="containsText" text="$H$12">
      <formula>NOT(ISERROR(SEARCH($H$12,B144)))</formula>
      <formula>$H$12</formula>
    </cfRule>
    <cfRule type="containsText" dxfId="768" priority="969" operator="containsText" text="$H$13">
      <formula>NOT(ISERROR(SEARCH($H$13,B144)))</formula>
      <formula>$H$13</formula>
    </cfRule>
  </conditionalFormatting>
  <conditionalFormatting sqref="B144">
    <cfRule type="containsText" dxfId="767" priority="968" operator="containsText" text="$H$7">
      <formula>NOT(ISERROR(SEARCH($H$7,B144)))</formula>
      <formula>$H$7</formula>
    </cfRule>
    <cfRule type="containsText" dxfId="766" priority="967" operator="containsText" text="$H$8">
      <formula>NOT(ISERROR(SEARCH($H$8,B144)))</formula>
      <formula>$H$8</formula>
    </cfRule>
    <cfRule type="containsText" dxfId="765" priority="966" operator="containsText" text="$H$8">
      <formula>NOT(ISERROR(SEARCH($H$8,B144)))</formula>
      <formula>$H$8</formula>
    </cfRule>
    <cfRule type="containsText" dxfId="764" priority="965" operator="containsText" text="$H$9">
      <formula>NOT(ISERROR(SEARCH($H$9,B144)))</formula>
      <formula>$H$9</formula>
    </cfRule>
    <cfRule type="containsText" dxfId="763" priority="964" operator="containsText" text="$H$10">
      <formula>NOT(ISERROR(SEARCH($H$10,B144)))</formula>
      <formula>$H$10</formula>
    </cfRule>
    <cfRule type="containsText" dxfId="762" priority="963" operator="containsText" text="$H$11">
      <formula>NOT(ISERROR(SEARCH($H$11,B144)))</formula>
      <formula>$H$11</formula>
    </cfRule>
    <cfRule type="containsText" dxfId="761" priority="962" operator="containsText" text="$H$12">
      <formula>NOT(ISERROR(SEARCH($H$12,B144)))</formula>
      <formula>$H$12</formula>
    </cfRule>
    <cfRule type="containsText" dxfId="760" priority="961" operator="containsText" text="$H$13">
      <formula>NOT(ISERROR(SEARCH($H$13,B144)))</formula>
      <formula>$H$13</formula>
    </cfRule>
  </conditionalFormatting>
  <conditionalFormatting sqref="B146">
    <cfRule type="containsText" dxfId="759" priority="960" operator="containsText" text="$H$7">
      <formula>NOT(ISERROR(SEARCH($H$7,B146)))</formula>
      <formula>$H$7</formula>
    </cfRule>
    <cfRule type="containsText" dxfId="758" priority="959" operator="containsText" text="$H$8">
      <formula>NOT(ISERROR(SEARCH($H$8,B146)))</formula>
      <formula>$H$8</formula>
    </cfRule>
    <cfRule type="containsText" dxfId="757" priority="958" operator="containsText" text="$H$8">
      <formula>NOT(ISERROR(SEARCH($H$8,B146)))</formula>
      <formula>$H$8</formula>
    </cfRule>
    <cfRule type="containsText" dxfId="756" priority="957" operator="containsText" text="$H$9">
      <formula>NOT(ISERROR(SEARCH($H$9,B146)))</formula>
      <formula>$H$9</formula>
    </cfRule>
    <cfRule type="containsText" dxfId="755" priority="956" operator="containsText" text="$H$10">
      <formula>NOT(ISERROR(SEARCH($H$10,B146)))</formula>
      <formula>$H$10</formula>
    </cfRule>
    <cfRule type="containsText" dxfId="754" priority="955" operator="containsText" text="$H$11">
      <formula>NOT(ISERROR(SEARCH($H$11,B146)))</formula>
      <formula>$H$11</formula>
    </cfRule>
    <cfRule type="containsText" dxfId="753" priority="954" operator="containsText" text="$H$12">
      <formula>NOT(ISERROR(SEARCH($H$12,B146)))</formula>
      <formula>$H$12</formula>
    </cfRule>
    <cfRule type="containsText" dxfId="752" priority="953" operator="containsText" text="$H$13">
      <formula>NOT(ISERROR(SEARCH($H$13,B146)))</formula>
      <formula>$H$13</formula>
    </cfRule>
  </conditionalFormatting>
  <conditionalFormatting sqref="B146">
    <cfRule type="containsText" dxfId="751" priority="952" operator="containsText" text="$H$7">
      <formula>NOT(ISERROR(SEARCH($H$7,B146)))</formula>
      <formula>$H$7</formula>
    </cfRule>
    <cfRule type="containsText" dxfId="750" priority="951" operator="containsText" text="$H$8">
      <formula>NOT(ISERROR(SEARCH($H$8,B146)))</formula>
      <formula>$H$8</formula>
    </cfRule>
    <cfRule type="containsText" dxfId="749" priority="950" operator="containsText" text="$H$8">
      <formula>NOT(ISERROR(SEARCH($H$8,B146)))</formula>
      <formula>$H$8</formula>
    </cfRule>
    <cfRule type="containsText" dxfId="748" priority="949" operator="containsText" text="$H$9">
      <formula>NOT(ISERROR(SEARCH($H$9,B146)))</formula>
      <formula>$H$9</formula>
    </cfRule>
    <cfRule type="containsText" dxfId="747" priority="948" operator="containsText" text="$H$10">
      <formula>NOT(ISERROR(SEARCH($H$10,B146)))</formula>
      <formula>$H$10</formula>
    </cfRule>
    <cfRule type="containsText" dxfId="746" priority="947" operator="containsText" text="$H$11">
      <formula>NOT(ISERROR(SEARCH($H$11,B146)))</formula>
      <formula>$H$11</formula>
    </cfRule>
    <cfRule type="containsText" dxfId="745" priority="946" operator="containsText" text="$H$12">
      <formula>NOT(ISERROR(SEARCH($H$12,B146)))</formula>
      <formula>$H$12</formula>
    </cfRule>
    <cfRule type="containsText" dxfId="744" priority="945" operator="containsText" text="$H$13">
      <formula>NOT(ISERROR(SEARCH($H$13,B146)))</formula>
      <formula>$H$13</formula>
    </cfRule>
  </conditionalFormatting>
  <conditionalFormatting sqref="C140">
    <cfRule type="containsText" dxfId="743" priority="944" operator="containsText" text="$H$7">
      <formula>NOT(ISERROR(SEARCH($H$7,C140)))</formula>
      <formula>$H$7</formula>
    </cfRule>
    <cfRule type="containsText" dxfId="742" priority="943" operator="containsText" text="$H$8">
      <formula>NOT(ISERROR(SEARCH($H$8,C140)))</formula>
      <formula>$H$8</formula>
    </cfRule>
    <cfRule type="containsText" dxfId="741" priority="942" operator="containsText" text="$H$8">
      <formula>NOT(ISERROR(SEARCH($H$8,C140)))</formula>
      <formula>$H$8</formula>
    </cfRule>
    <cfRule type="containsText" dxfId="740" priority="941" operator="containsText" text="$H$9">
      <formula>NOT(ISERROR(SEARCH($H$9,C140)))</formula>
      <formula>$H$9</formula>
    </cfRule>
    <cfRule type="containsText" dxfId="739" priority="940" operator="containsText" text="$H$10">
      <formula>NOT(ISERROR(SEARCH($H$10,C140)))</formula>
      <formula>$H$10</formula>
    </cfRule>
    <cfRule type="containsText" dxfId="738" priority="939" operator="containsText" text="$H$11">
      <formula>NOT(ISERROR(SEARCH($H$11,C140)))</formula>
      <formula>$H$11</formula>
    </cfRule>
    <cfRule type="containsText" dxfId="737" priority="938" operator="containsText" text="$H$12">
      <formula>NOT(ISERROR(SEARCH($H$12,C140)))</formula>
      <formula>$H$12</formula>
    </cfRule>
    <cfRule type="containsText" dxfId="736" priority="937" operator="containsText" text="$H$13">
      <formula>NOT(ISERROR(SEARCH($H$13,C140)))</formula>
      <formula>$H$13</formula>
    </cfRule>
  </conditionalFormatting>
  <conditionalFormatting sqref="C140">
    <cfRule type="containsText" dxfId="735" priority="936" operator="containsText" text="$H$7">
      <formula>NOT(ISERROR(SEARCH($H$7,C140)))</formula>
      <formula>$H$7</formula>
    </cfRule>
    <cfRule type="containsText" dxfId="734" priority="935" operator="containsText" text="$H$8">
      <formula>NOT(ISERROR(SEARCH($H$8,C140)))</formula>
      <formula>$H$8</formula>
    </cfRule>
    <cfRule type="containsText" dxfId="733" priority="934" operator="containsText" text="$H$8">
      <formula>NOT(ISERROR(SEARCH($H$8,C140)))</formula>
      <formula>$H$8</formula>
    </cfRule>
    <cfRule type="containsText" dxfId="732" priority="933" operator="containsText" text="$H$9">
      <formula>NOT(ISERROR(SEARCH($H$9,C140)))</formula>
      <formula>$H$9</formula>
    </cfRule>
    <cfRule type="containsText" dxfId="731" priority="932" operator="containsText" text="$H$10">
      <formula>NOT(ISERROR(SEARCH($H$10,C140)))</formula>
      <formula>$H$10</formula>
    </cfRule>
    <cfRule type="containsText" dxfId="730" priority="931" operator="containsText" text="$H$11">
      <formula>NOT(ISERROR(SEARCH($H$11,C140)))</formula>
      <formula>$H$11</formula>
    </cfRule>
    <cfRule type="containsText" dxfId="729" priority="930" operator="containsText" text="$H$12">
      <formula>NOT(ISERROR(SEARCH($H$12,C140)))</formula>
      <formula>$H$12</formula>
    </cfRule>
    <cfRule type="containsText" dxfId="728" priority="929" operator="containsText" text="$H$13">
      <formula>NOT(ISERROR(SEARCH($H$13,C140)))</formula>
      <formula>$H$13</formula>
    </cfRule>
  </conditionalFormatting>
  <conditionalFormatting sqref="C142">
    <cfRule type="containsText" dxfId="727" priority="928" operator="containsText" text="$H$7">
      <formula>NOT(ISERROR(SEARCH($H$7,C142)))</formula>
      <formula>$H$7</formula>
    </cfRule>
    <cfRule type="containsText" dxfId="726" priority="927" operator="containsText" text="$H$8">
      <formula>NOT(ISERROR(SEARCH($H$8,C142)))</formula>
      <formula>$H$8</formula>
    </cfRule>
    <cfRule type="containsText" dxfId="725" priority="926" operator="containsText" text="$H$8">
      <formula>NOT(ISERROR(SEARCH($H$8,C142)))</formula>
      <formula>$H$8</formula>
    </cfRule>
    <cfRule type="containsText" dxfId="724" priority="925" operator="containsText" text="$H$9">
      <formula>NOT(ISERROR(SEARCH($H$9,C142)))</formula>
      <formula>$H$9</formula>
    </cfRule>
    <cfRule type="containsText" dxfId="723" priority="924" operator="containsText" text="$H$10">
      <formula>NOT(ISERROR(SEARCH($H$10,C142)))</formula>
      <formula>$H$10</formula>
    </cfRule>
    <cfRule type="containsText" dxfId="722" priority="923" operator="containsText" text="$H$11">
      <formula>NOT(ISERROR(SEARCH($H$11,C142)))</formula>
      <formula>$H$11</formula>
    </cfRule>
    <cfRule type="containsText" dxfId="721" priority="922" operator="containsText" text="$H$12">
      <formula>NOT(ISERROR(SEARCH($H$12,C142)))</formula>
      <formula>$H$12</formula>
    </cfRule>
    <cfRule type="containsText" dxfId="720" priority="921" operator="containsText" text="$H$13">
      <formula>NOT(ISERROR(SEARCH($H$13,C142)))</formula>
      <formula>$H$13</formula>
    </cfRule>
  </conditionalFormatting>
  <conditionalFormatting sqref="C142">
    <cfRule type="containsText" dxfId="719" priority="920" operator="containsText" text="$H$7">
      <formula>NOT(ISERROR(SEARCH($H$7,C142)))</formula>
      <formula>$H$7</formula>
    </cfRule>
    <cfRule type="containsText" dxfId="718" priority="919" operator="containsText" text="$H$8">
      <formula>NOT(ISERROR(SEARCH($H$8,C142)))</formula>
      <formula>$H$8</formula>
    </cfRule>
    <cfRule type="containsText" dxfId="717" priority="918" operator="containsText" text="$H$8">
      <formula>NOT(ISERROR(SEARCH($H$8,C142)))</formula>
      <formula>$H$8</formula>
    </cfRule>
    <cfRule type="containsText" dxfId="716" priority="917" operator="containsText" text="$H$9">
      <formula>NOT(ISERROR(SEARCH($H$9,C142)))</formula>
      <formula>$H$9</formula>
    </cfRule>
    <cfRule type="containsText" dxfId="715" priority="916" operator="containsText" text="$H$10">
      <formula>NOT(ISERROR(SEARCH($H$10,C142)))</formula>
      <formula>$H$10</formula>
    </cfRule>
    <cfRule type="containsText" dxfId="714" priority="915" operator="containsText" text="$H$11">
      <formula>NOT(ISERROR(SEARCH($H$11,C142)))</formula>
      <formula>$H$11</formula>
    </cfRule>
    <cfRule type="containsText" dxfId="713" priority="914" operator="containsText" text="$H$12">
      <formula>NOT(ISERROR(SEARCH($H$12,C142)))</formula>
      <formula>$H$12</formula>
    </cfRule>
    <cfRule type="containsText" dxfId="712" priority="913" operator="containsText" text="$H$13">
      <formula>NOT(ISERROR(SEARCH($H$13,C142)))</formula>
      <formula>$H$13</formula>
    </cfRule>
  </conditionalFormatting>
  <conditionalFormatting sqref="C144">
    <cfRule type="containsText" dxfId="711" priority="912" operator="containsText" text="$H$7">
      <formula>NOT(ISERROR(SEARCH($H$7,C144)))</formula>
      <formula>$H$7</formula>
    </cfRule>
    <cfRule type="containsText" dxfId="710" priority="911" operator="containsText" text="$H$8">
      <formula>NOT(ISERROR(SEARCH($H$8,C144)))</formula>
      <formula>$H$8</formula>
    </cfRule>
    <cfRule type="containsText" dxfId="709" priority="910" operator="containsText" text="$H$8">
      <formula>NOT(ISERROR(SEARCH($H$8,C144)))</formula>
      <formula>$H$8</formula>
    </cfRule>
    <cfRule type="containsText" dxfId="708" priority="909" operator="containsText" text="$H$9">
      <formula>NOT(ISERROR(SEARCH($H$9,C144)))</formula>
      <formula>$H$9</formula>
    </cfRule>
    <cfRule type="containsText" dxfId="707" priority="908" operator="containsText" text="$H$10">
      <formula>NOT(ISERROR(SEARCH($H$10,C144)))</formula>
      <formula>$H$10</formula>
    </cfRule>
    <cfRule type="containsText" dxfId="706" priority="907" operator="containsText" text="$H$11">
      <formula>NOT(ISERROR(SEARCH($H$11,C144)))</formula>
      <formula>$H$11</formula>
    </cfRule>
    <cfRule type="containsText" dxfId="705" priority="906" operator="containsText" text="$H$12">
      <formula>NOT(ISERROR(SEARCH($H$12,C144)))</formula>
      <formula>$H$12</formula>
    </cfRule>
    <cfRule type="containsText" dxfId="704" priority="905" operator="containsText" text="$H$13">
      <formula>NOT(ISERROR(SEARCH($H$13,C144)))</formula>
      <formula>$H$13</formula>
    </cfRule>
  </conditionalFormatting>
  <conditionalFormatting sqref="C144">
    <cfRule type="containsText" dxfId="703" priority="904" operator="containsText" text="$H$7">
      <formula>NOT(ISERROR(SEARCH($H$7,C144)))</formula>
      <formula>$H$7</formula>
    </cfRule>
    <cfRule type="containsText" dxfId="702" priority="903" operator="containsText" text="$H$8">
      <formula>NOT(ISERROR(SEARCH($H$8,C144)))</formula>
      <formula>$H$8</formula>
    </cfRule>
    <cfRule type="containsText" dxfId="701" priority="902" operator="containsText" text="$H$8">
      <formula>NOT(ISERROR(SEARCH($H$8,C144)))</formula>
      <formula>$H$8</formula>
    </cfRule>
    <cfRule type="containsText" dxfId="700" priority="901" operator="containsText" text="$H$9">
      <formula>NOT(ISERROR(SEARCH($H$9,C144)))</formula>
      <formula>$H$9</formula>
    </cfRule>
    <cfRule type="containsText" dxfId="699" priority="900" operator="containsText" text="$H$10">
      <formula>NOT(ISERROR(SEARCH($H$10,C144)))</formula>
      <formula>$H$10</formula>
    </cfRule>
    <cfRule type="containsText" dxfId="698" priority="899" operator="containsText" text="$H$11">
      <formula>NOT(ISERROR(SEARCH($H$11,C144)))</formula>
      <formula>$H$11</formula>
    </cfRule>
    <cfRule type="containsText" dxfId="697" priority="898" operator="containsText" text="$H$12">
      <formula>NOT(ISERROR(SEARCH($H$12,C144)))</formula>
      <formula>$H$12</formula>
    </cfRule>
    <cfRule type="containsText" dxfId="696" priority="897" operator="containsText" text="$H$13">
      <formula>NOT(ISERROR(SEARCH($H$13,C144)))</formula>
      <formula>$H$13</formula>
    </cfRule>
  </conditionalFormatting>
  <conditionalFormatting sqref="C146">
    <cfRule type="containsText" dxfId="695" priority="896" operator="containsText" text="$H$7">
      <formula>NOT(ISERROR(SEARCH($H$7,C146)))</formula>
      <formula>$H$7</formula>
    </cfRule>
    <cfRule type="containsText" dxfId="694" priority="895" operator="containsText" text="$H$8">
      <formula>NOT(ISERROR(SEARCH($H$8,C146)))</formula>
      <formula>$H$8</formula>
    </cfRule>
    <cfRule type="containsText" dxfId="693" priority="894" operator="containsText" text="$H$8">
      <formula>NOT(ISERROR(SEARCH($H$8,C146)))</formula>
      <formula>$H$8</formula>
    </cfRule>
    <cfRule type="containsText" dxfId="692" priority="893" operator="containsText" text="$H$9">
      <formula>NOT(ISERROR(SEARCH($H$9,C146)))</formula>
      <formula>$H$9</formula>
    </cfRule>
    <cfRule type="containsText" dxfId="691" priority="892" operator="containsText" text="$H$10">
      <formula>NOT(ISERROR(SEARCH($H$10,C146)))</formula>
      <formula>$H$10</formula>
    </cfRule>
    <cfRule type="containsText" dxfId="690" priority="891" operator="containsText" text="$H$11">
      <formula>NOT(ISERROR(SEARCH($H$11,C146)))</formula>
      <formula>$H$11</formula>
    </cfRule>
    <cfRule type="containsText" dxfId="689" priority="890" operator="containsText" text="$H$12">
      <formula>NOT(ISERROR(SEARCH($H$12,C146)))</formula>
      <formula>$H$12</formula>
    </cfRule>
    <cfRule type="containsText" dxfId="688" priority="889" operator="containsText" text="$H$13">
      <formula>NOT(ISERROR(SEARCH($H$13,C146)))</formula>
      <formula>$H$13</formula>
    </cfRule>
  </conditionalFormatting>
  <conditionalFormatting sqref="C146">
    <cfRule type="containsText" dxfId="687" priority="888" operator="containsText" text="$H$7">
      <formula>NOT(ISERROR(SEARCH($H$7,C146)))</formula>
      <formula>$H$7</formula>
    </cfRule>
    <cfRule type="containsText" dxfId="686" priority="887" operator="containsText" text="$H$8">
      <formula>NOT(ISERROR(SEARCH($H$8,C146)))</formula>
      <formula>$H$8</formula>
    </cfRule>
    <cfRule type="containsText" dxfId="685" priority="886" operator="containsText" text="$H$8">
      <formula>NOT(ISERROR(SEARCH($H$8,C146)))</formula>
      <formula>$H$8</formula>
    </cfRule>
    <cfRule type="containsText" dxfId="684" priority="885" operator="containsText" text="$H$9">
      <formula>NOT(ISERROR(SEARCH($H$9,C146)))</formula>
      <formula>$H$9</formula>
    </cfRule>
    <cfRule type="containsText" dxfId="683" priority="884" operator="containsText" text="$H$10">
      <formula>NOT(ISERROR(SEARCH($H$10,C146)))</formula>
      <formula>$H$10</formula>
    </cfRule>
    <cfRule type="containsText" dxfId="682" priority="883" operator="containsText" text="$H$11">
      <formula>NOT(ISERROR(SEARCH($H$11,C146)))</formula>
      <formula>$H$11</formula>
    </cfRule>
    <cfRule type="containsText" dxfId="681" priority="882" operator="containsText" text="$H$12">
      <formula>NOT(ISERROR(SEARCH($H$12,C146)))</formula>
      <formula>$H$12</formula>
    </cfRule>
    <cfRule type="containsText" dxfId="680" priority="881" operator="containsText" text="$H$13">
      <formula>NOT(ISERROR(SEARCH($H$13,C146)))</formula>
      <formula>$H$13</formula>
    </cfRule>
  </conditionalFormatting>
  <conditionalFormatting sqref="D140">
    <cfRule type="containsText" dxfId="679" priority="880" operator="containsText" text="$H$7">
      <formula>NOT(ISERROR(SEARCH($H$7,D140)))</formula>
      <formula>$H$7</formula>
    </cfRule>
    <cfRule type="containsText" dxfId="678" priority="879" operator="containsText" text="$H$8">
      <formula>NOT(ISERROR(SEARCH($H$8,D140)))</formula>
      <formula>$H$8</formula>
    </cfRule>
    <cfRule type="containsText" dxfId="677" priority="878" operator="containsText" text="$H$8">
      <formula>NOT(ISERROR(SEARCH($H$8,D140)))</formula>
      <formula>$H$8</formula>
    </cfRule>
    <cfRule type="containsText" dxfId="676" priority="877" operator="containsText" text="$H$9">
      <formula>NOT(ISERROR(SEARCH($H$9,D140)))</formula>
      <formula>$H$9</formula>
    </cfRule>
    <cfRule type="containsText" dxfId="675" priority="876" operator="containsText" text="$H$10">
      <formula>NOT(ISERROR(SEARCH($H$10,D140)))</formula>
      <formula>$H$10</formula>
    </cfRule>
    <cfRule type="containsText" dxfId="674" priority="875" operator="containsText" text="$H$11">
      <formula>NOT(ISERROR(SEARCH($H$11,D140)))</formula>
      <formula>$H$11</formula>
    </cfRule>
    <cfRule type="containsText" dxfId="673" priority="874" operator="containsText" text="$H$12">
      <formula>NOT(ISERROR(SEARCH($H$12,D140)))</formula>
      <formula>$H$12</formula>
    </cfRule>
    <cfRule type="containsText" dxfId="672" priority="873" operator="containsText" text="$H$13">
      <formula>NOT(ISERROR(SEARCH($H$13,D140)))</formula>
      <formula>$H$13</formula>
    </cfRule>
  </conditionalFormatting>
  <conditionalFormatting sqref="D140">
    <cfRule type="containsText" dxfId="671" priority="872" operator="containsText" text="$H$7">
      <formula>NOT(ISERROR(SEARCH($H$7,D140)))</formula>
      <formula>$H$7</formula>
    </cfRule>
    <cfRule type="containsText" dxfId="670" priority="871" operator="containsText" text="$H$8">
      <formula>NOT(ISERROR(SEARCH($H$8,D140)))</formula>
      <formula>$H$8</formula>
    </cfRule>
    <cfRule type="containsText" dxfId="669" priority="870" operator="containsText" text="$H$8">
      <formula>NOT(ISERROR(SEARCH($H$8,D140)))</formula>
      <formula>$H$8</formula>
    </cfRule>
    <cfRule type="containsText" dxfId="668" priority="869" operator="containsText" text="$H$9">
      <formula>NOT(ISERROR(SEARCH($H$9,D140)))</formula>
      <formula>$H$9</formula>
    </cfRule>
    <cfRule type="containsText" dxfId="667" priority="868" operator="containsText" text="$H$10">
      <formula>NOT(ISERROR(SEARCH($H$10,D140)))</formula>
      <formula>$H$10</formula>
    </cfRule>
    <cfRule type="containsText" dxfId="666" priority="867" operator="containsText" text="$H$11">
      <formula>NOT(ISERROR(SEARCH($H$11,D140)))</formula>
      <formula>$H$11</formula>
    </cfRule>
    <cfRule type="containsText" dxfId="665" priority="866" operator="containsText" text="$H$12">
      <formula>NOT(ISERROR(SEARCH($H$12,D140)))</formula>
      <formula>$H$12</formula>
    </cfRule>
    <cfRule type="containsText" dxfId="664" priority="865" operator="containsText" text="$H$13">
      <formula>NOT(ISERROR(SEARCH($H$13,D140)))</formula>
      <formula>$H$13</formula>
    </cfRule>
  </conditionalFormatting>
  <conditionalFormatting sqref="D142">
    <cfRule type="containsText" dxfId="663" priority="864" operator="containsText" text="$H$7">
      <formula>NOT(ISERROR(SEARCH($H$7,D142)))</formula>
      <formula>$H$7</formula>
    </cfRule>
    <cfRule type="containsText" dxfId="662" priority="863" operator="containsText" text="$H$8">
      <formula>NOT(ISERROR(SEARCH($H$8,D142)))</formula>
      <formula>$H$8</formula>
    </cfRule>
    <cfRule type="containsText" dxfId="661" priority="862" operator="containsText" text="$H$8">
      <formula>NOT(ISERROR(SEARCH($H$8,D142)))</formula>
      <formula>$H$8</formula>
    </cfRule>
    <cfRule type="containsText" dxfId="660" priority="861" operator="containsText" text="$H$9">
      <formula>NOT(ISERROR(SEARCH($H$9,D142)))</formula>
      <formula>$H$9</formula>
    </cfRule>
    <cfRule type="containsText" dxfId="659" priority="860" operator="containsText" text="$H$10">
      <formula>NOT(ISERROR(SEARCH($H$10,D142)))</formula>
      <formula>$H$10</formula>
    </cfRule>
    <cfRule type="containsText" dxfId="658" priority="859" operator="containsText" text="$H$11">
      <formula>NOT(ISERROR(SEARCH($H$11,D142)))</formula>
      <formula>$H$11</formula>
    </cfRule>
    <cfRule type="containsText" dxfId="657" priority="858" operator="containsText" text="$H$12">
      <formula>NOT(ISERROR(SEARCH($H$12,D142)))</formula>
      <formula>$H$12</formula>
    </cfRule>
    <cfRule type="containsText" dxfId="656" priority="857" operator="containsText" text="$H$13">
      <formula>NOT(ISERROR(SEARCH($H$13,D142)))</formula>
      <formula>$H$13</formula>
    </cfRule>
  </conditionalFormatting>
  <conditionalFormatting sqref="D142">
    <cfRule type="containsText" dxfId="655" priority="856" operator="containsText" text="$H$7">
      <formula>NOT(ISERROR(SEARCH($H$7,D142)))</formula>
      <formula>$H$7</formula>
    </cfRule>
    <cfRule type="containsText" dxfId="654" priority="855" operator="containsText" text="$H$8">
      <formula>NOT(ISERROR(SEARCH($H$8,D142)))</formula>
      <formula>$H$8</formula>
    </cfRule>
    <cfRule type="containsText" dxfId="653" priority="854" operator="containsText" text="$H$8">
      <formula>NOT(ISERROR(SEARCH($H$8,D142)))</formula>
      <formula>$H$8</formula>
    </cfRule>
    <cfRule type="containsText" dxfId="652" priority="853" operator="containsText" text="$H$9">
      <formula>NOT(ISERROR(SEARCH($H$9,D142)))</formula>
      <formula>$H$9</formula>
    </cfRule>
    <cfRule type="containsText" dxfId="651" priority="852" operator="containsText" text="$H$10">
      <formula>NOT(ISERROR(SEARCH($H$10,D142)))</formula>
      <formula>$H$10</formula>
    </cfRule>
    <cfRule type="containsText" dxfId="650" priority="851" operator="containsText" text="$H$11">
      <formula>NOT(ISERROR(SEARCH($H$11,D142)))</formula>
      <formula>$H$11</formula>
    </cfRule>
    <cfRule type="containsText" dxfId="649" priority="850" operator="containsText" text="$H$12">
      <formula>NOT(ISERROR(SEARCH($H$12,D142)))</formula>
      <formula>$H$12</formula>
    </cfRule>
    <cfRule type="containsText" dxfId="648" priority="849" operator="containsText" text="$H$13">
      <formula>NOT(ISERROR(SEARCH($H$13,D142)))</formula>
      <formula>$H$13</formula>
    </cfRule>
  </conditionalFormatting>
  <conditionalFormatting sqref="D144">
    <cfRule type="containsText" dxfId="647" priority="848" operator="containsText" text="$H$7">
      <formula>NOT(ISERROR(SEARCH($H$7,D144)))</formula>
      <formula>$H$7</formula>
    </cfRule>
    <cfRule type="containsText" dxfId="646" priority="847" operator="containsText" text="$H$8">
      <formula>NOT(ISERROR(SEARCH($H$8,D144)))</formula>
      <formula>$H$8</formula>
    </cfRule>
    <cfRule type="containsText" dxfId="645" priority="846" operator="containsText" text="$H$8">
      <formula>NOT(ISERROR(SEARCH($H$8,D144)))</formula>
      <formula>$H$8</formula>
    </cfRule>
    <cfRule type="containsText" dxfId="644" priority="845" operator="containsText" text="$H$9">
      <formula>NOT(ISERROR(SEARCH($H$9,D144)))</formula>
      <formula>$H$9</formula>
    </cfRule>
    <cfRule type="containsText" dxfId="643" priority="844" operator="containsText" text="$H$10">
      <formula>NOT(ISERROR(SEARCH($H$10,D144)))</formula>
      <formula>$H$10</formula>
    </cfRule>
    <cfRule type="containsText" dxfId="642" priority="843" operator="containsText" text="$H$11">
      <formula>NOT(ISERROR(SEARCH($H$11,D144)))</formula>
      <formula>$H$11</formula>
    </cfRule>
    <cfRule type="containsText" dxfId="641" priority="842" operator="containsText" text="$H$12">
      <formula>NOT(ISERROR(SEARCH($H$12,D144)))</formula>
      <formula>$H$12</formula>
    </cfRule>
    <cfRule type="containsText" dxfId="640" priority="841" operator="containsText" text="$H$13">
      <formula>NOT(ISERROR(SEARCH($H$13,D144)))</formula>
      <formula>$H$13</formula>
    </cfRule>
  </conditionalFormatting>
  <conditionalFormatting sqref="D144">
    <cfRule type="containsText" dxfId="639" priority="840" operator="containsText" text="$H$7">
      <formula>NOT(ISERROR(SEARCH($H$7,D144)))</formula>
      <formula>$H$7</formula>
    </cfRule>
    <cfRule type="containsText" dxfId="638" priority="839" operator="containsText" text="$H$8">
      <formula>NOT(ISERROR(SEARCH($H$8,D144)))</formula>
      <formula>$H$8</formula>
    </cfRule>
    <cfRule type="containsText" dxfId="637" priority="838" operator="containsText" text="$H$8">
      <formula>NOT(ISERROR(SEARCH($H$8,D144)))</formula>
      <formula>$H$8</formula>
    </cfRule>
    <cfRule type="containsText" dxfId="636" priority="837" operator="containsText" text="$H$9">
      <formula>NOT(ISERROR(SEARCH($H$9,D144)))</formula>
      <formula>$H$9</formula>
    </cfRule>
    <cfRule type="containsText" dxfId="635" priority="836" operator="containsText" text="$H$10">
      <formula>NOT(ISERROR(SEARCH($H$10,D144)))</formula>
      <formula>$H$10</formula>
    </cfRule>
    <cfRule type="containsText" dxfId="634" priority="835" operator="containsText" text="$H$11">
      <formula>NOT(ISERROR(SEARCH($H$11,D144)))</formula>
      <formula>$H$11</formula>
    </cfRule>
    <cfRule type="containsText" dxfId="633" priority="834" operator="containsText" text="$H$12">
      <formula>NOT(ISERROR(SEARCH($H$12,D144)))</formula>
      <formula>$H$12</formula>
    </cfRule>
    <cfRule type="containsText" dxfId="632" priority="833" operator="containsText" text="$H$13">
      <formula>NOT(ISERROR(SEARCH($H$13,D144)))</formula>
      <formula>$H$13</formula>
    </cfRule>
  </conditionalFormatting>
  <conditionalFormatting sqref="D146">
    <cfRule type="containsText" dxfId="631" priority="832" operator="containsText" text="$H$7">
      <formula>NOT(ISERROR(SEARCH($H$7,D146)))</formula>
      <formula>$H$7</formula>
    </cfRule>
    <cfRule type="containsText" dxfId="630" priority="831" operator="containsText" text="$H$8">
      <formula>NOT(ISERROR(SEARCH($H$8,D146)))</formula>
      <formula>$H$8</formula>
    </cfRule>
    <cfRule type="containsText" dxfId="629" priority="830" operator="containsText" text="$H$8">
      <formula>NOT(ISERROR(SEARCH($H$8,D146)))</formula>
      <formula>$H$8</formula>
    </cfRule>
    <cfRule type="containsText" dxfId="628" priority="829" operator="containsText" text="$H$9">
      <formula>NOT(ISERROR(SEARCH($H$9,D146)))</formula>
      <formula>$H$9</formula>
    </cfRule>
    <cfRule type="containsText" dxfId="627" priority="828" operator="containsText" text="$H$10">
      <formula>NOT(ISERROR(SEARCH($H$10,D146)))</formula>
      <formula>$H$10</formula>
    </cfRule>
    <cfRule type="containsText" dxfId="626" priority="827" operator="containsText" text="$H$11">
      <formula>NOT(ISERROR(SEARCH($H$11,D146)))</formula>
      <formula>$H$11</formula>
    </cfRule>
    <cfRule type="containsText" dxfId="625" priority="826" operator="containsText" text="$H$12">
      <formula>NOT(ISERROR(SEARCH($H$12,D146)))</formula>
      <formula>$H$12</formula>
    </cfRule>
    <cfRule type="containsText" dxfId="624" priority="825" operator="containsText" text="$H$13">
      <formula>NOT(ISERROR(SEARCH($H$13,D146)))</formula>
      <formula>$H$13</formula>
    </cfRule>
  </conditionalFormatting>
  <conditionalFormatting sqref="D146">
    <cfRule type="containsText" dxfId="623" priority="824" operator="containsText" text="$H$7">
      <formula>NOT(ISERROR(SEARCH($H$7,D146)))</formula>
      <formula>$H$7</formula>
    </cfRule>
    <cfRule type="containsText" dxfId="622" priority="823" operator="containsText" text="$H$8">
      <formula>NOT(ISERROR(SEARCH($H$8,D146)))</formula>
      <formula>$H$8</formula>
    </cfRule>
    <cfRule type="containsText" dxfId="621" priority="822" operator="containsText" text="$H$8">
      <formula>NOT(ISERROR(SEARCH($H$8,D146)))</formula>
      <formula>$H$8</formula>
    </cfRule>
    <cfRule type="containsText" dxfId="620" priority="821" operator="containsText" text="$H$9">
      <formula>NOT(ISERROR(SEARCH($H$9,D146)))</formula>
      <formula>$H$9</formula>
    </cfRule>
    <cfRule type="containsText" dxfId="619" priority="820" operator="containsText" text="$H$10">
      <formula>NOT(ISERROR(SEARCH($H$10,D146)))</formula>
      <formula>$H$10</formula>
    </cfRule>
    <cfRule type="containsText" dxfId="618" priority="819" operator="containsText" text="$H$11">
      <formula>NOT(ISERROR(SEARCH($H$11,D146)))</formula>
      <formula>$H$11</formula>
    </cfRule>
    <cfRule type="containsText" dxfId="617" priority="818" operator="containsText" text="$H$12">
      <formula>NOT(ISERROR(SEARCH($H$12,D146)))</formula>
      <formula>$H$12</formula>
    </cfRule>
    <cfRule type="containsText" dxfId="616" priority="817" operator="containsText" text="$H$13">
      <formula>NOT(ISERROR(SEARCH($H$13,D146)))</formula>
      <formula>$H$13</formula>
    </cfRule>
  </conditionalFormatting>
  <conditionalFormatting sqref="E140">
    <cfRule type="containsText" dxfId="615" priority="816" operator="containsText" text="$H$7">
      <formula>NOT(ISERROR(SEARCH($H$7,E140)))</formula>
      <formula>$H$7</formula>
    </cfRule>
    <cfRule type="containsText" dxfId="614" priority="815" operator="containsText" text="$H$8">
      <formula>NOT(ISERROR(SEARCH($H$8,E140)))</formula>
      <formula>$H$8</formula>
    </cfRule>
    <cfRule type="containsText" dxfId="613" priority="814" operator="containsText" text="$H$8">
      <formula>NOT(ISERROR(SEARCH($H$8,E140)))</formula>
      <formula>$H$8</formula>
    </cfRule>
    <cfRule type="containsText" dxfId="612" priority="813" operator="containsText" text="$H$9">
      <formula>NOT(ISERROR(SEARCH($H$9,E140)))</formula>
      <formula>$H$9</formula>
    </cfRule>
    <cfRule type="containsText" dxfId="611" priority="812" operator="containsText" text="$H$10">
      <formula>NOT(ISERROR(SEARCH($H$10,E140)))</formula>
      <formula>$H$10</formula>
    </cfRule>
    <cfRule type="containsText" dxfId="610" priority="811" operator="containsText" text="$H$11">
      <formula>NOT(ISERROR(SEARCH($H$11,E140)))</formula>
      <formula>$H$11</formula>
    </cfRule>
    <cfRule type="containsText" dxfId="609" priority="810" operator="containsText" text="$H$12">
      <formula>NOT(ISERROR(SEARCH($H$12,E140)))</formula>
      <formula>$H$12</formula>
    </cfRule>
    <cfRule type="containsText" dxfId="608" priority="809" operator="containsText" text="$H$13">
      <formula>NOT(ISERROR(SEARCH($H$13,E140)))</formula>
      <formula>$H$13</formula>
    </cfRule>
  </conditionalFormatting>
  <conditionalFormatting sqref="E140">
    <cfRule type="containsText" dxfId="607" priority="808" operator="containsText" text="$H$7">
      <formula>NOT(ISERROR(SEARCH($H$7,E140)))</formula>
      <formula>$H$7</formula>
    </cfRule>
    <cfRule type="containsText" dxfId="606" priority="807" operator="containsText" text="$H$8">
      <formula>NOT(ISERROR(SEARCH($H$8,E140)))</formula>
      <formula>$H$8</formula>
    </cfRule>
    <cfRule type="containsText" dxfId="605" priority="806" operator="containsText" text="$H$8">
      <formula>NOT(ISERROR(SEARCH($H$8,E140)))</formula>
      <formula>$H$8</formula>
    </cfRule>
    <cfRule type="containsText" dxfId="604" priority="805" operator="containsText" text="$H$9">
      <formula>NOT(ISERROR(SEARCH($H$9,E140)))</formula>
      <formula>$H$9</formula>
    </cfRule>
    <cfRule type="containsText" dxfId="603" priority="804" operator="containsText" text="$H$10">
      <formula>NOT(ISERROR(SEARCH($H$10,E140)))</formula>
      <formula>$H$10</formula>
    </cfRule>
    <cfRule type="containsText" dxfId="602" priority="803" operator="containsText" text="$H$11">
      <formula>NOT(ISERROR(SEARCH($H$11,E140)))</formula>
      <formula>$H$11</formula>
    </cfRule>
    <cfRule type="containsText" dxfId="601" priority="802" operator="containsText" text="$H$12">
      <formula>NOT(ISERROR(SEARCH($H$12,E140)))</formula>
      <formula>$H$12</formula>
    </cfRule>
    <cfRule type="containsText" dxfId="600" priority="801" operator="containsText" text="$H$13">
      <formula>NOT(ISERROR(SEARCH($H$13,E140)))</formula>
      <formula>$H$13</formula>
    </cfRule>
  </conditionalFormatting>
  <conditionalFormatting sqref="E142">
    <cfRule type="containsText" dxfId="599" priority="800" operator="containsText" text="$H$7">
      <formula>NOT(ISERROR(SEARCH($H$7,E142)))</formula>
      <formula>$H$7</formula>
    </cfRule>
    <cfRule type="containsText" dxfId="598" priority="799" operator="containsText" text="$H$8">
      <formula>NOT(ISERROR(SEARCH($H$8,E142)))</formula>
      <formula>$H$8</formula>
    </cfRule>
    <cfRule type="containsText" dxfId="597" priority="798" operator="containsText" text="$H$8">
      <formula>NOT(ISERROR(SEARCH($H$8,E142)))</formula>
      <formula>$H$8</formula>
    </cfRule>
    <cfRule type="containsText" dxfId="596" priority="797" operator="containsText" text="$H$9">
      <formula>NOT(ISERROR(SEARCH($H$9,E142)))</formula>
      <formula>$H$9</formula>
    </cfRule>
    <cfRule type="containsText" dxfId="595" priority="796" operator="containsText" text="$H$10">
      <formula>NOT(ISERROR(SEARCH($H$10,E142)))</formula>
      <formula>$H$10</formula>
    </cfRule>
    <cfRule type="containsText" dxfId="594" priority="795" operator="containsText" text="$H$11">
      <formula>NOT(ISERROR(SEARCH($H$11,E142)))</formula>
      <formula>$H$11</formula>
    </cfRule>
    <cfRule type="containsText" dxfId="593" priority="794" operator="containsText" text="$H$12">
      <formula>NOT(ISERROR(SEARCH($H$12,E142)))</formula>
      <formula>$H$12</formula>
    </cfRule>
    <cfRule type="containsText" dxfId="592" priority="793" operator="containsText" text="$H$13">
      <formula>NOT(ISERROR(SEARCH($H$13,E142)))</formula>
      <formula>$H$13</formula>
    </cfRule>
  </conditionalFormatting>
  <conditionalFormatting sqref="E142">
    <cfRule type="containsText" dxfId="591" priority="792" operator="containsText" text="$H$7">
      <formula>NOT(ISERROR(SEARCH($H$7,E142)))</formula>
      <formula>$H$7</formula>
    </cfRule>
    <cfRule type="containsText" dxfId="590" priority="791" operator="containsText" text="$H$8">
      <formula>NOT(ISERROR(SEARCH($H$8,E142)))</formula>
      <formula>$H$8</formula>
    </cfRule>
    <cfRule type="containsText" dxfId="589" priority="790" operator="containsText" text="$H$8">
      <formula>NOT(ISERROR(SEARCH($H$8,E142)))</formula>
      <formula>$H$8</formula>
    </cfRule>
    <cfRule type="containsText" dxfId="588" priority="789" operator="containsText" text="$H$9">
      <formula>NOT(ISERROR(SEARCH($H$9,E142)))</formula>
      <formula>$H$9</formula>
    </cfRule>
    <cfRule type="containsText" dxfId="587" priority="788" operator="containsText" text="$H$10">
      <formula>NOT(ISERROR(SEARCH($H$10,E142)))</formula>
      <formula>$H$10</formula>
    </cfRule>
    <cfRule type="containsText" dxfId="586" priority="787" operator="containsText" text="$H$11">
      <formula>NOT(ISERROR(SEARCH($H$11,E142)))</formula>
      <formula>$H$11</formula>
    </cfRule>
    <cfRule type="containsText" dxfId="585" priority="786" operator="containsText" text="$H$12">
      <formula>NOT(ISERROR(SEARCH($H$12,E142)))</formula>
      <formula>$H$12</formula>
    </cfRule>
    <cfRule type="containsText" dxfId="584" priority="785" operator="containsText" text="$H$13">
      <formula>NOT(ISERROR(SEARCH($H$13,E142)))</formula>
      <formula>$H$13</formula>
    </cfRule>
  </conditionalFormatting>
  <conditionalFormatting sqref="E144">
    <cfRule type="containsText" dxfId="583" priority="784" operator="containsText" text="$H$7">
      <formula>NOT(ISERROR(SEARCH($H$7,E144)))</formula>
      <formula>$H$7</formula>
    </cfRule>
    <cfRule type="containsText" dxfId="582" priority="783" operator="containsText" text="$H$8">
      <formula>NOT(ISERROR(SEARCH($H$8,E144)))</formula>
      <formula>$H$8</formula>
    </cfRule>
    <cfRule type="containsText" dxfId="581" priority="782" operator="containsText" text="$H$8">
      <formula>NOT(ISERROR(SEARCH($H$8,E144)))</formula>
      <formula>$H$8</formula>
    </cfRule>
    <cfRule type="containsText" dxfId="580" priority="781" operator="containsText" text="$H$9">
      <formula>NOT(ISERROR(SEARCH($H$9,E144)))</formula>
      <formula>$H$9</formula>
    </cfRule>
    <cfRule type="containsText" dxfId="579" priority="780" operator="containsText" text="$H$10">
      <formula>NOT(ISERROR(SEARCH($H$10,E144)))</formula>
      <formula>$H$10</formula>
    </cfRule>
    <cfRule type="containsText" dxfId="578" priority="779" operator="containsText" text="$H$11">
      <formula>NOT(ISERROR(SEARCH($H$11,E144)))</formula>
      <formula>$H$11</formula>
    </cfRule>
    <cfRule type="containsText" dxfId="577" priority="778" operator="containsText" text="$H$12">
      <formula>NOT(ISERROR(SEARCH($H$12,E144)))</formula>
      <formula>$H$12</formula>
    </cfRule>
    <cfRule type="containsText" dxfId="576" priority="777" operator="containsText" text="$H$13">
      <formula>NOT(ISERROR(SEARCH($H$13,E144)))</formula>
      <formula>$H$13</formula>
    </cfRule>
  </conditionalFormatting>
  <conditionalFormatting sqref="E144">
    <cfRule type="containsText" dxfId="575" priority="776" operator="containsText" text="$H$7">
      <formula>NOT(ISERROR(SEARCH($H$7,E144)))</formula>
      <formula>$H$7</formula>
    </cfRule>
    <cfRule type="containsText" dxfId="574" priority="775" operator="containsText" text="$H$8">
      <formula>NOT(ISERROR(SEARCH($H$8,E144)))</formula>
      <formula>$H$8</formula>
    </cfRule>
    <cfRule type="containsText" dxfId="573" priority="774" operator="containsText" text="$H$8">
      <formula>NOT(ISERROR(SEARCH($H$8,E144)))</formula>
      <formula>$H$8</formula>
    </cfRule>
    <cfRule type="containsText" dxfId="572" priority="773" operator="containsText" text="$H$9">
      <formula>NOT(ISERROR(SEARCH($H$9,E144)))</formula>
      <formula>$H$9</formula>
    </cfRule>
    <cfRule type="containsText" dxfId="571" priority="772" operator="containsText" text="$H$10">
      <formula>NOT(ISERROR(SEARCH($H$10,E144)))</formula>
      <formula>$H$10</formula>
    </cfRule>
    <cfRule type="containsText" dxfId="570" priority="771" operator="containsText" text="$H$11">
      <formula>NOT(ISERROR(SEARCH($H$11,E144)))</formula>
      <formula>$H$11</formula>
    </cfRule>
    <cfRule type="containsText" dxfId="569" priority="770" operator="containsText" text="$H$12">
      <formula>NOT(ISERROR(SEARCH($H$12,E144)))</formula>
      <formula>$H$12</formula>
    </cfRule>
    <cfRule type="containsText" dxfId="568" priority="769" operator="containsText" text="$H$13">
      <formula>NOT(ISERROR(SEARCH($H$13,E144)))</formula>
      <formula>$H$13</formula>
    </cfRule>
  </conditionalFormatting>
  <conditionalFormatting sqref="E146">
    <cfRule type="containsText" dxfId="567" priority="768" operator="containsText" text="$H$7">
      <formula>NOT(ISERROR(SEARCH($H$7,E146)))</formula>
      <formula>$H$7</formula>
    </cfRule>
    <cfRule type="containsText" dxfId="566" priority="767" operator="containsText" text="$H$8">
      <formula>NOT(ISERROR(SEARCH($H$8,E146)))</formula>
      <formula>$H$8</formula>
    </cfRule>
    <cfRule type="containsText" dxfId="565" priority="766" operator="containsText" text="$H$8">
      <formula>NOT(ISERROR(SEARCH($H$8,E146)))</formula>
      <formula>$H$8</formula>
    </cfRule>
    <cfRule type="containsText" dxfId="564" priority="765" operator="containsText" text="$H$9">
      <formula>NOT(ISERROR(SEARCH($H$9,E146)))</formula>
      <formula>$H$9</formula>
    </cfRule>
    <cfRule type="containsText" dxfId="563" priority="764" operator="containsText" text="$H$10">
      <formula>NOT(ISERROR(SEARCH($H$10,E146)))</formula>
      <formula>$H$10</formula>
    </cfRule>
    <cfRule type="containsText" dxfId="562" priority="763" operator="containsText" text="$H$11">
      <formula>NOT(ISERROR(SEARCH($H$11,E146)))</formula>
      <formula>$H$11</formula>
    </cfRule>
    <cfRule type="containsText" dxfId="561" priority="762" operator="containsText" text="$H$12">
      <formula>NOT(ISERROR(SEARCH($H$12,E146)))</formula>
      <formula>$H$12</formula>
    </cfRule>
    <cfRule type="containsText" dxfId="560" priority="761" operator="containsText" text="$H$13">
      <formula>NOT(ISERROR(SEARCH($H$13,E146)))</formula>
      <formula>$H$13</formula>
    </cfRule>
  </conditionalFormatting>
  <conditionalFormatting sqref="E146">
    <cfRule type="containsText" dxfId="559" priority="760" operator="containsText" text="$H$7">
      <formula>NOT(ISERROR(SEARCH($H$7,E146)))</formula>
      <formula>$H$7</formula>
    </cfRule>
    <cfRule type="containsText" dxfId="558" priority="759" operator="containsText" text="$H$8">
      <formula>NOT(ISERROR(SEARCH($H$8,E146)))</formula>
      <formula>$H$8</formula>
    </cfRule>
    <cfRule type="containsText" dxfId="557" priority="758" operator="containsText" text="$H$8">
      <formula>NOT(ISERROR(SEARCH($H$8,E146)))</formula>
      <formula>$H$8</formula>
    </cfRule>
    <cfRule type="containsText" dxfId="556" priority="757" operator="containsText" text="$H$9">
      <formula>NOT(ISERROR(SEARCH($H$9,E146)))</formula>
      <formula>$H$9</formula>
    </cfRule>
    <cfRule type="containsText" dxfId="555" priority="756" operator="containsText" text="$H$10">
      <formula>NOT(ISERROR(SEARCH($H$10,E146)))</formula>
      <formula>$H$10</formula>
    </cfRule>
    <cfRule type="containsText" dxfId="554" priority="755" operator="containsText" text="$H$11">
      <formula>NOT(ISERROR(SEARCH($H$11,E146)))</formula>
      <formula>$H$11</formula>
    </cfRule>
    <cfRule type="containsText" dxfId="553" priority="754" operator="containsText" text="$H$12">
      <formula>NOT(ISERROR(SEARCH($H$12,E146)))</formula>
      <formula>$H$12</formula>
    </cfRule>
    <cfRule type="containsText" dxfId="552" priority="753" operator="containsText" text="$H$13">
      <formula>NOT(ISERROR(SEARCH($H$13,E146)))</formula>
      <formula>$H$13</formula>
    </cfRule>
  </conditionalFormatting>
  <conditionalFormatting sqref="C158">
    <cfRule type="containsText" dxfId="551" priority="752" operator="containsText" text="$H$7">
      <formula>NOT(ISERROR(SEARCH($H$7,C158)))</formula>
      <formula>$H$7</formula>
    </cfRule>
    <cfRule type="containsText" dxfId="550" priority="751" operator="containsText" text="$H$8">
      <formula>NOT(ISERROR(SEARCH($H$8,C158)))</formula>
      <formula>$H$8</formula>
    </cfRule>
    <cfRule type="containsText" dxfId="549" priority="750" operator="containsText" text="$H$8">
      <formula>NOT(ISERROR(SEARCH($H$8,C158)))</formula>
      <formula>$H$8</formula>
    </cfRule>
    <cfRule type="containsText" dxfId="548" priority="749" operator="containsText" text="$H$9">
      <formula>NOT(ISERROR(SEARCH($H$9,C158)))</formula>
      <formula>$H$9</formula>
    </cfRule>
    <cfRule type="containsText" dxfId="547" priority="748" operator="containsText" text="$H$10">
      <formula>NOT(ISERROR(SEARCH($H$10,C158)))</formula>
      <formula>$H$10</formula>
    </cfRule>
    <cfRule type="containsText" dxfId="546" priority="747" operator="containsText" text="$H$11">
      <formula>NOT(ISERROR(SEARCH($H$11,C158)))</formula>
      <formula>$H$11</formula>
    </cfRule>
    <cfRule type="containsText" dxfId="545" priority="746" operator="containsText" text="$H$12">
      <formula>NOT(ISERROR(SEARCH($H$12,C158)))</formula>
      <formula>$H$12</formula>
    </cfRule>
    <cfRule type="containsText" dxfId="544" priority="745" operator="containsText" text="$H$13">
      <formula>NOT(ISERROR(SEARCH($H$13,C158)))</formula>
      <formula>$H$13</formula>
    </cfRule>
  </conditionalFormatting>
  <conditionalFormatting sqref="C158">
    <cfRule type="containsText" dxfId="543" priority="744" operator="containsText" text="$H$7">
      <formula>NOT(ISERROR(SEARCH($H$7,C158)))</formula>
      <formula>$H$7</formula>
    </cfRule>
    <cfRule type="containsText" dxfId="542" priority="743" operator="containsText" text="$H$8">
      <formula>NOT(ISERROR(SEARCH($H$8,C158)))</formula>
      <formula>$H$8</formula>
    </cfRule>
    <cfRule type="containsText" dxfId="541" priority="742" operator="containsText" text="$H$8">
      <formula>NOT(ISERROR(SEARCH($H$8,C158)))</formula>
      <formula>$H$8</formula>
    </cfRule>
    <cfRule type="containsText" dxfId="540" priority="741" operator="containsText" text="$H$9">
      <formula>NOT(ISERROR(SEARCH($H$9,C158)))</formula>
      <formula>$H$9</formula>
    </cfRule>
    <cfRule type="containsText" dxfId="539" priority="740" operator="containsText" text="$H$10">
      <formula>NOT(ISERROR(SEARCH($H$10,C158)))</formula>
      <formula>$H$10</formula>
    </cfRule>
    <cfRule type="containsText" dxfId="538" priority="739" operator="containsText" text="$H$11">
      <formula>NOT(ISERROR(SEARCH($H$11,C158)))</formula>
      <formula>$H$11</formula>
    </cfRule>
    <cfRule type="containsText" dxfId="537" priority="738" operator="containsText" text="$H$12">
      <formula>NOT(ISERROR(SEARCH($H$12,C158)))</formula>
      <formula>$H$12</formula>
    </cfRule>
    <cfRule type="containsText" dxfId="536" priority="737" operator="containsText" text="$H$13">
      <formula>NOT(ISERROR(SEARCH($H$13,C158)))</formula>
      <formula>$H$13</formula>
    </cfRule>
  </conditionalFormatting>
  <conditionalFormatting sqref="C160">
    <cfRule type="containsText" dxfId="535" priority="736" operator="containsText" text="$H$7">
      <formula>NOT(ISERROR(SEARCH($H$7,C160)))</formula>
      <formula>$H$7</formula>
    </cfRule>
    <cfRule type="containsText" dxfId="534" priority="735" operator="containsText" text="$H$8">
      <formula>NOT(ISERROR(SEARCH($H$8,C160)))</formula>
      <formula>$H$8</formula>
    </cfRule>
    <cfRule type="containsText" dxfId="533" priority="734" operator="containsText" text="$H$8">
      <formula>NOT(ISERROR(SEARCH($H$8,C160)))</formula>
      <formula>$H$8</formula>
    </cfRule>
    <cfRule type="containsText" dxfId="532" priority="733" operator="containsText" text="$H$9">
      <formula>NOT(ISERROR(SEARCH($H$9,C160)))</formula>
      <formula>$H$9</formula>
    </cfRule>
    <cfRule type="containsText" dxfId="531" priority="732" operator="containsText" text="$H$10">
      <formula>NOT(ISERROR(SEARCH($H$10,C160)))</formula>
      <formula>$H$10</formula>
    </cfRule>
    <cfRule type="containsText" dxfId="530" priority="731" operator="containsText" text="$H$11">
      <formula>NOT(ISERROR(SEARCH($H$11,C160)))</formula>
      <formula>$H$11</formula>
    </cfRule>
    <cfRule type="containsText" dxfId="529" priority="730" operator="containsText" text="$H$12">
      <formula>NOT(ISERROR(SEARCH($H$12,C160)))</formula>
      <formula>$H$12</formula>
    </cfRule>
    <cfRule type="containsText" dxfId="528" priority="729" operator="containsText" text="$H$13">
      <formula>NOT(ISERROR(SEARCH($H$13,C160)))</formula>
      <formula>$H$13</formula>
    </cfRule>
  </conditionalFormatting>
  <conditionalFormatting sqref="C160">
    <cfRule type="containsText" dxfId="527" priority="728" operator="containsText" text="$H$7">
      <formula>NOT(ISERROR(SEARCH($H$7,C160)))</formula>
      <formula>$H$7</formula>
    </cfRule>
    <cfRule type="containsText" dxfId="526" priority="727" operator="containsText" text="$H$8">
      <formula>NOT(ISERROR(SEARCH($H$8,C160)))</formula>
      <formula>$H$8</formula>
    </cfRule>
    <cfRule type="containsText" dxfId="525" priority="726" operator="containsText" text="$H$8">
      <formula>NOT(ISERROR(SEARCH($H$8,C160)))</formula>
      <formula>$H$8</formula>
    </cfRule>
    <cfRule type="containsText" dxfId="524" priority="725" operator="containsText" text="$H$9">
      <formula>NOT(ISERROR(SEARCH($H$9,C160)))</formula>
      <formula>$H$9</formula>
    </cfRule>
    <cfRule type="containsText" dxfId="523" priority="724" operator="containsText" text="$H$10">
      <formula>NOT(ISERROR(SEARCH($H$10,C160)))</formula>
      <formula>$H$10</formula>
    </cfRule>
    <cfRule type="containsText" dxfId="522" priority="723" operator="containsText" text="$H$11">
      <formula>NOT(ISERROR(SEARCH($H$11,C160)))</formula>
      <formula>$H$11</formula>
    </cfRule>
    <cfRule type="containsText" dxfId="521" priority="722" operator="containsText" text="$H$12">
      <formula>NOT(ISERROR(SEARCH($H$12,C160)))</formula>
      <formula>$H$12</formula>
    </cfRule>
    <cfRule type="containsText" dxfId="520" priority="721" operator="containsText" text="$H$13">
      <formula>NOT(ISERROR(SEARCH($H$13,C160)))</formula>
      <formula>$H$13</formula>
    </cfRule>
  </conditionalFormatting>
  <conditionalFormatting sqref="C162">
    <cfRule type="containsText" dxfId="519" priority="720" operator="containsText" text="$H$7">
      <formula>NOT(ISERROR(SEARCH($H$7,C162)))</formula>
      <formula>$H$7</formula>
    </cfRule>
    <cfRule type="containsText" dxfId="518" priority="719" operator="containsText" text="$H$8">
      <formula>NOT(ISERROR(SEARCH($H$8,C162)))</formula>
      <formula>$H$8</formula>
    </cfRule>
    <cfRule type="containsText" dxfId="517" priority="718" operator="containsText" text="$H$8">
      <formula>NOT(ISERROR(SEARCH($H$8,C162)))</formula>
      <formula>$H$8</formula>
    </cfRule>
    <cfRule type="containsText" dxfId="516" priority="717" operator="containsText" text="$H$9">
      <formula>NOT(ISERROR(SEARCH($H$9,C162)))</formula>
      <formula>$H$9</formula>
    </cfRule>
    <cfRule type="containsText" dxfId="515" priority="716" operator="containsText" text="$H$10">
      <formula>NOT(ISERROR(SEARCH($H$10,C162)))</formula>
      <formula>$H$10</formula>
    </cfRule>
    <cfRule type="containsText" dxfId="514" priority="715" operator="containsText" text="$H$11">
      <formula>NOT(ISERROR(SEARCH($H$11,C162)))</formula>
      <formula>$H$11</formula>
    </cfRule>
    <cfRule type="containsText" dxfId="513" priority="714" operator="containsText" text="$H$12">
      <formula>NOT(ISERROR(SEARCH($H$12,C162)))</formula>
      <formula>$H$12</formula>
    </cfRule>
    <cfRule type="containsText" dxfId="512" priority="713" operator="containsText" text="$H$13">
      <formula>NOT(ISERROR(SEARCH($H$13,C162)))</formula>
      <formula>$H$13</formula>
    </cfRule>
  </conditionalFormatting>
  <conditionalFormatting sqref="C162">
    <cfRule type="containsText" dxfId="511" priority="712" operator="containsText" text="$H$7">
      <formula>NOT(ISERROR(SEARCH($H$7,C162)))</formula>
      <formula>$H$7</formula>
    </cfRule>
    <cfRule type="containsText" dxfId="510" priority="711" operator="containsText" text="$H$8">
      <formula>NOT(ISERROR(SEARCH($H$8,C162)))</formula>
      <formula>$H$8</formula>
    </cfRule>
    <cfRule type="containsText" dxfId="509" priority="710" operator="containsText" text="$H$8">
      <formula>NOT(ISERROR(SEARCH($H$8,C162)))</formula>
      <formula>$H$8</formula>
    </cfRule>
    <cfRule type="containsText" dxfId="508" priority="709" operator="containsText" text="$H$9">
      <formula>NOT(ISERROR(SEARCH($H$9,C162)))</formula>
      <formula>$H$9</formula>
    </cfRule>
    <cfRule type="containsText" dxfId="507" priority="708" operator="containsText" text="$H$10">
      <formula>NOT(ISERROR(SEARCH($H$10,C162)))</formula>
      <formula>$H$10</formula>
    </cfRule>
    <cfRule type="containsText" dxfId="506" priority="707" operator="containsText" text="$H$11">
      <formula>NOT(ISERROR(SEARCH($H$11,C162)))</formula>
      <formula>$H$11</formula>
    </cfRule>
    <cfRule type="containsText" dxfId="505" priority="706" operator="containsText" text="$H$12">
      <formula>NOT(ISERROR(SEARCH($H$12,C162)))</formula>
      <formula>$H$12</formula>
    </cfRule>
    <cfRule type="containsText" dxfId="504" priority="705" operator="containsText" text="$H$13">
      <formula>NOT(ISERROR(SEARCH($H$13,C162)))</formula>
      <formula>$H$13</formula>
    </cfRule>
  </conditionalFormatting>
  <conditionalFormatting sqref="C164">
    <cfRule type="containsText" dxfId="503" priority="704" operator="containsText" text="$H$7">
      <formula>NOT(ISERROR(SEARCH($H$7,C164)))</formula>
      <formula>$H$7</formula>
    </cfRule>
    <cfRule type="containsText" dxfId="502" priority="703" operator="containsText" text="$H$8">
      <formula>NOT(ISERROR(SEARCH($H$8,C164)))</formula>
      <formula>$H$8</formula>
    </cfRule>
    <cfRule type="containsText" dxfId="501" priority="702" operator="containsText" text="$H$8">
      <formula>NOT(ISERROR(SEARCH($H$8,C164)))</formula>
      <formula>$H$8</formula>
    </cfRule>
    <cfRule type="containsText" dxfId="500" priority="701" operator="containsText" text="$H$9">
      <formula>NOT(ISERROR(SEARCH($H$9,C164)))</formula>
      <formula>$H$9</formula>
    </cfRule>
    <cfRule type="containsText" dxfId="499" priority="700" operator="containsText" text="$H$10">
      <formula>NOT(ISERROR(SEARCH($H$10,C164)))</formula>
      <formula>$H$10</formula>
    </cfRule>
    <cfRule type="containsText" dxfId="498" priority="699" operator="containsText" text="$H$11">
      <formula>NOT(ISERROR(SEARCH($H$11,C164)))</formula>
      <formula>$H$11</formula>
    </cfRule>
    <cfRule type="containsText" dxfId="497" priority="698" operator="containsText" text="$H$12">
      <formula>NOT(ISERROR(SEARCH($H$12,C164)))</formula>
      <formula>$H$12</formula>
    </cfRule>
    <cfRule type="containsText" dxfId="496" priority="697" operator="containsText" text="$H$13">
      <formula>NOT(ISERROR(SEARCH($H$13,C164)))</formula>
      <formula>$H$13</formula>
    </cfRule>
  </conditionalFormatting>
  <conditionalFormatting sqref="C164">
    <cfRule type="containsText" dxfId="495" priority="696" operator="containsText" text="$H$7">
      <formula>NOT(ISERROR(SEARCH($H$7,C164)))</formula>
      <formula>$H$7</formula>
    </cfRule>
    <cfRule type="containsText" dxfId="494" priority="695" operator="containsText" text="$H$8">
      <formula>NOT(ISERROR(SEARCH($H$8,C164)))</formula>
      <formula>$H$8</formula>
    </cfRule>
    <cfRule type="containsText" dxfId="493" priority="694" operator="containsText" text="$H$8">
      <formula>NOT(ISERROR(SEARCH($H$8,C164)))</formula>
      <formula>$H$8</formula>
    </cfRule>
    <cfRule type="containsText" dxfId="492" priority="693" operator="containsText" text="$H$9">
      <formula>NOT(ISERROR(SEARCH($H$9,C164)))</formula>
      <formula>$H$9</formula>
    </cfRule>
    <cfRule type="containsText" dxfId="491" priority="692" operator="containsText" text="$H$10">
      <formula>NOT(ISERROR(SEARCH($H$10,C164)))</formula>
      <formula>$H$10</formula>
    </cfRule>
    <cfRule type="containsText" dxfId="490" priority="691" operator="containsText" text="$H$11">
      <formula>NOT(ISERROR(SEARCH($H$11,C164)))</formula>
      <formula>$H$11</formula>
    </cfRule>
    <cfRule type="containsText" dxfId="489" priority="690" operator="containsText" text="$H$12">
      <formula>NOT(ISERROR(SEARCH($H$12,C164)))</formula>
      <formula>$H$12</formula>
    </cfRule>
    <cfRule type="containsText" dxfId="488" priority="689" operator="containsText" text="$H$13">
      <formula>NOT(ISERROR(SEARCH($H$13,C164)))</formula>
      <formula>$H$13</formula>
    </cfRule>
  </conditionalFormatting>
  <conditionalFormatting sqref="D158">
    <cfRule type="containsText" dxfId="487" priority="688" operator="containsText" text="$H$7">
      <formula>NOT(ISERROR(SEARCH($H$7,D158)))</formula>
      <formula>$H$7</formula>
    </cfRule>
    <cfRule type="containsText" dxfId="486" priority="687" operator="containsText" text="$H$8">
      <formula>NOT(ISERROR(SEARCH($H$8,D158)))</formula>
      <formula>$H$8</formula>
    </cfRule>
    <cfRule type="containsText" dxfId="485" priority="686" operator="containsText" text="$H$8">
      <formula>NOT(ISERROR(SEARCH($H$8,D158)))</formula>
      <formula>$H$8</formula>
    </cfRule>
    <cfRule type="containsText" dxfId="484" priority="685" operator="containsText" text="$H$9">
      <formula>NOT(ISERROR(SEARCH($H$9,D158)))</formula>
      <formula>$H$9</formula>
    </cfRule>
    <cfRule type="containsText" dxfId="483" priority="684" operator="containsText" text="$H$10">
      <formula>NOT(ISERROR(SEARCH($H$10,D158)))</formula>
      <formula>$H$10</formula>
    </cfRule>
    <cfRule type="containsText" dxfId="482" priority="683" operator="containsText" text="$H$11">
      <formula>NOT(ISERROR(SEARCH($H$11,D158)))</formula>
      <formula>$H$11</formula>
    </cfRule>
    <cfRule type="containsText" dxfId="481" priority="682" operator="containsText" text="$H$12">
      <formula>NOT(ISERROR(SEARCH($H$12,D158)))</formula>
      <formula>$H$12</formula>
    </cfRule>
    <cfRule type="containsText" dxfId="480" priority="681" operator="containsText" text="$H$13">
      <formula>NOT(ISERROR(SEARCH($H$13,D158)))</formula>
      <formula>$H$13</formula>
    </cfRule>
  </conditionalFormatting>
  <conditionalFormatting sqref="D158">
    <cfRule type="containsText" dxfId="479" priority="680" operator="containsText" text="$H$7">
      <formula>NOT(ISERROR(SEARCH($H$7,D158)))</formula>
      <formula>$H$7</formula>
    </cfRule>
    <cfRule type="containsText" dxfId="478" priority="679" operator="containsText" text="$H$8">
      <formula>NOT(ISERROR(SEARCH($H$8,D158)))</formula>
      <formula>$H$8</formula>
    </cfRule>
    <cfRule type="containsText" dxfId="477" priority="678" operator="containsText" text="$H$8">
      <formula>NOT(ISERROR(SEARCH($H$8,D158)))</formula>
      <formula>$H$8</formula>
    </cfRule>
    <cfRule type="containsText" dxfId="476" priority="677" operator="containsText" text="$H$9">
      <formula>NOT(ISERROR(SEARCH($H$9,D158)))</formula>
      <formula>$H$9</formula>
    </cfRule>
    <cfRule type="containsText" dxfId="475" priority="676" operator="containsText" text="$H$10">
      <formula>NOT(ISERROR(SEARCH($H$10,D158)))</formula>
      <formula>$H$10</formula>
    </cfRule>
    <cfRule type="containsText" dxfId="474" priority="675" operator="containsText" text="$H$11">
      <formula>NOT(ISERROR(SEARCH($H$11,D158)))</formula>
      <formula>$H$11</formula>
    </cfRule>
    <cfRule type="containsText" dxfId="473" priority="674" operator="containsText" text="$H$12">
      <formula>NOT(ISERROR(SEARCH($H$12,D158)))</formula>
      <formula>$H$12</formula>
    </cfRule>
    <cfRule type="containsText" dxfId="472" priority="673" operator="containsText" text="$H$13">
      <formula>NOT(ISERROR(SEARCH($H$13,D158)))</formula>
      <formula>$H$13</formula>
    </cfRule>
  </conditionalFormatting>
  <conditionalFormatting sqref="D160">
    <cfRule type="containsText" dxfId="471" priority="672" operator="containsText" text="$H$7">
      <formula>NOT(ISERROR(SEARCH($H$7,D160)))</formula>
      <formula>$H$7</formula>
    </cfRule>
    <cfRule type="containsText" dxfId="470" priority="671" operator="containsText" text="$H$8">
      <formula>NOT(ISERROR(SEARCH($H$8,D160)))</formula>
      <formula>$H$8</formula>
    </cfRule>
    <cfRule type="containsText" dxfId="469" priority="670" operator="containsText" text="$H$8">
      <formula>NOT(ISERROR(SEARCH($H$8,D160)))</formula>
      <formula>$H$8</formula>
    </cfRule>
    <cfRule type="containsText" dxfId="468" priority="669" operator="containsText" text="$H$9">
      <formula>NOT(ISERROR(SEARCH($H$9,D160)))</formula>
      <formula>$H$9</formula>
    </cfRule>
    <cfRule type="containsText" dxfId="467" priority="668" operator="containsText" text="$H$10">
      <formula>NOT(ISERROR(SEARCH($H$10,D160)))</formula>
      <formula>$H$10</formula>
    </cfRule>
    <cfRule type="containsText" dxfId="466" priority="667" operator="containsText" text="$H$11">
      <formula>NOT(ISERROR(SEARCH($H$11,D160)))</formula>
      <formula>$H$11</formula>
    </cfRule>
    <cfRule type="containsText" dxfId="465" priority="666" operator="containsText" text="$H$12">
      <formula>NOT(ISERROR(SEARCH($H$12,D160)))</formula>
      <formula>$H$12</formula>
    </cfRule>
    <cfRule type="containsText" dxfId="464" priority="665" operator="containsText" text="$H$13">
      <formula>NOT(ISERROR(SEARCH($H$13,D160)))</formula>
      <formula>$H$13</formula>
    </cfRule>
  </conditionalFormatting>
  <conditionalFormatting sqref="D160">
    <cfRule type="containsText" dxfId="463" priority="664" operator="containsText" text="$H$7">
      <formula>NOT(ISERROR(SEARCH($H$7,D160)))</formula>
      <formula>$H$7</formula>
    </cfRule>
    <cfRule type="containsText" dxfId="462" priority="663" operator="containsText" text="$H$8">
      <formula>NOT(ISERROR(SEARCH($H$8,D160)))</formula>
      <formula>$H$8</formula>
    </cfRule>
    <cfRule type="containsText" dxfId="461" priority="662" operator="containsText" text="$H$8">
      <formula>NOT(ISERROR(SEARCH($H$8,D160)))</formula>
      <formula>$H$8</formula>
    </cfRule>
    <cfRule type="containsText" dxfId="460" priority="661" operator="containsText" text="$H$9">
      <formula>NOT(ISERROR(SEARCH($H$9,D160)))</formula>
      <formula>$H$9</formula>
    </cfRule>
    <cfRule type="containsText" dxfId="459" priority="660" operator="containsText" text="$H$10">
      <formula>NOT(ISERROR(SEARCH($H$10,D160)))</formula>
      <formula>$H$10</formula>
    </cfRule>
    <cfRule type="containsText" dxfId="458" priority="659" operator="containsText" text="$H$11">
      <formula>NOT(ISERROR(SEARCH($H$11,D160)))</formula>
      <formula>$H$11</formula>
    </cfRule>
    <cfRule type="containsText" dxfId="457" priority="658" operator="containsText" text="$H$12">
      <formula>NOT(ISERROR(SEARCH($H$12,D160)))</formula>
      <formula>$H$12</formula>
    </cfRule>
    <cfRule type="containsText" dxfId="456" priority="657" operator="containsText" text="$H$13">
      <formula>NOT(ISERROR(SEARCH($H$13,D160)))</formula>
      <formula>$H$13</formula>
    </cfRule>
  </conditionalFormatting>
  <conditionalFormatting sqref="D162">
    <cfRule type="containsText" dxfId="455" priority="656" operator="containsText" text="$H$7">
      <formula>NOT(ISERROR(SEARCH($H$7,D162)))</formula>
      <formula>$H$7</formula>
    </cfRule>
    <cfRule type="containsText" dxfId="454" priority="655" operator="containsText" text="$H$8">
      <formula>NOT(ISERROR(SEARCH($H$8,D162)))</formula>
      <formula>$H$8</formula>
    </cfRule>
    <cfRule type="containsText" dxfId="453" priority="654" operator="containsText" text="$H$8">
      <formula>NOT(ISERROR(SEARCH($H$8,D162)))</formula>
      <formula>$H$8</formula>
    </cfRule>
    <cfRule type="containsText" dxfId="452" priority="653" operator="containsText" text="$H$9">
      <formula>NOT(ISERROR(SEARCH($H$9,D162)))</formula>
      <formula>$H$9</formula>
    </cfRule>
    <cfRule type="containsText" dxfId="451" priority="652" operator="containsText" text="$H$10">
      <formula>NOT(ISERROR(SEARCH($H$10,D162)))</formula>
      <formula>$H$10</formula>
    </cfRule>
    <cfRule type="containsText" dxfId="450" priority="651" operator="containsText" text="$H$11">
      <formula>NOT(ISERROR(SEARCH($H$11,D162)))</formula>
      <formula>$H$11</formula>
    </cfRule>
    <cfRule type="containsText" dxfId="449" priority="650" operator="containsText" text="$H$12">
      <formula>NOT(ISERROR(SEARCH($H$12,D162)))</formula>
      <formula>$H$12</formula>
    </cfRule>
    <cfRule type="containsText" dxfId="448" priority="649" operator="containsText" text="$H$13">
      <formula>NOT(ISERROR(SEARCH($H$13,D162)))</formula>
      <formula>$H$13</formula>
    </cfRule>
  </conditionalFormatting>
  <conditionalFormatting sqref="D162">
    <cfRule type="containsText" dxfId="447" priority="648" operator="containsText" text="$H$7">
      <formula>NOT(ISERROR(SEARCH($H$7,D162)))</formula>
      <formula>$H$7</formula>
    </cfRule>
    <cfRule type="containsText" dxfId="446" priority="647" operator="containsText" text="$H$8">
      <formula>NOT(ISERROR(SEARCH($H$8,D162)))</formula>
      <formula>$H$8</formula>
    </cfRule>
    <cfRule type="containsText" dxfId="445" priority="646" operator="containsText" text="$H$8">
      <formula>NOT(ISERROR(SEARCH($H$8,D162)))</formula>
      <formula>$H$8</formula>
    </cfRule>
    <cfRule type="containsText" dxfId="444" priority="645" operator="containsText" text="$H$9">
      <formula>NOT(ISERROR(SEARCH($H$9,D162)))</formula>
      <formula>$H$9</formula>
    </cfRule>
    <cfRule type="containsText" dxfId="443" priority="644" operator="containsText" text="$H$10">
      <formula>NOT(ISERROR(SEARCH($H$10,D162)))</formula>
      <formula>$H$10</formula>
    </cfRule>
    <cfRule type="containsText" dxfId="442" priority="643" operator="containsText" text="$H$11">
      <formula>NOT(ISERROR(SEARCH($H$11,D162)))</formula>
      <formula>$H$11</formula>
    </cfRule>
    <cfRule type="containsText" dxfId="441" priority="642" operator="containsText" text="$H$12">
      <formula>NOT(ISERROR(SEARCH($H$12,D162)))</formula>
      <formula>$H$12</formula>
    </cfRule>
    <cfRule type="containsText" dxfId="440" priority="641" operator="containsText" text="$H$13">
      <formula>NOT(ISERROR(SEARCH($H$13,D162)))</formula>
      <formula>$H$13</formula>
    </cfRule>
  </conditionalFormatting>
  <conditionalFormatting sqref="D164">
    <cfRule type="containsText" dxfId="439" priority="640" operator="containsText" text="$H$7">
      <formula>NOT(ISERROR(SEARCH($H$7,D164)))</formula>
      <formula>$H$7</formula>
    </cfRule>
    <cfRule type="containsText" dxfId="438" priority="639" operator="containsText" text="$H$8">
      <formula>NOT(ISERROR(SEARCH($H$8,D164)))</formula>
      <formula>$H$8</formula>
    </cfRule>
    <cfRule type="containsText" dxfId="437" priority="638" operator="containsText" text="$H$8">
      <formula>NOT(ISERROR(SEARCH($H$8,D164)))</formula>
      <formula>$H$8</formula>
    </cfRule>
    <cfRule type="containsText" dxfId="436" priority="637" operator="containsText" text="$H$9">
      <formula>NOT(ISERROR(SEARCH($H$9,D164)))</formula>
      <formula>$H$9</formula>
    </cfRule>
    <cfRule type="containsText" dxfId="435" priority="636" operator="containsText" text="$H$10">
      <formula>NOT(ISERROR(SEARCH($H$10,D164)))</formula>
      <formula>$H$10</formula>
    </cfRule>
    <cfRule type="containsText" dxfId="434" priority="635" operator="containsText" text="$H$11">
      <formula>NOT(ISERROR(SEARCH($H$11,D164)))</formula>
      <formula>$H$11</formula>
    </cfRule>
    <cfRule type="containsText" dxfId="433" priority="634" operator="containsText" text="$H$12">
      <formula>NOT(ISERROR(SEARCH($H$12,D164)))</formula>
      <formula>$H$12</formula>
    </cfRule>
    <cfRule type="containsText" dxfId="432" priority="633" operator="containsText" text="$H$13">
      <formula>NOT(ISERROR(SEARCH($H$13,D164)))</formula>
      <formula>$H$13</formula>
    </cfRule>
  </conditionalFormatting>
  <conditionalFormatting sqref="D164">
    <cfRule type="containsText" dxfId="431" priority="632" operator="containsText" text="$H$7">
      <formula>NOT(ISERROR(SEARCH($H$7,D164)))</formula>
      <formula>$H$7</formula>
    </cfRule>
    <cfRule type="containsText" dxfId="430" priority="631" operator="containsText" text="$H$8">
      <formula>NOT(ISERROR(SEARCH($H$8,D164)))</formula>
      <formula>$H$8</formula>
    </cfRule>
    <cfRule type="containsText" dxfId="429" priority="630" operator="containsText" text="$H$8">
      <formula>NOT(ISERROR(SEARCH($H$8,D164)))</formula>
      <formula>$H$8</formula>
    </cfRule>
    <cfRule type="containsText" dxfId="428" priority="629" operator="containsText" text="$H$9">
      <formula>NOT(ISERROR(SEARCH($H$9,D164)))</formula>
      <formula>$H$9</formula>
    </cfRule>
    <cfRule type="containsText" dxfId="427" priority="628" operator="containsText" text="$H$10">
      <formula>NOT(ISERROR(SEARCH($H$10,D164)))</formula>
      <formula>$H$10</formula>
    </cfRule>
    <cfRule type="containsText" dxfId="426" priority="627" operator="containsText" text="$H$11">
      <formula>NOT(ISERROR(SEARCH($H$11,D164)))</formula>
      <formula>$H$11</formula>
    </cfRule>
    <cfRule type="containsText" dxfId="425" priority="626" operator="containsText" text="$H$12">
      <formula>NOT(ISERROR(SEARCH($H$12,D164)))</formula>
      <formula>$H$12</formula>
    </cfRule>
    <cfRule type="containsText" dxfId="424" priority="625" operator="containsText" text="$H$13">
      <formula>NOT(ISERROR(SEARCH($H$13,D164)))</formula>
      <formula>$H$13</formula>
    </cfRule>
  </conditionalFormatting>
  <conditionalFormatting sqref="E150">
    <cfRule type="containsText" dxfId="423" priority="624" operator="containsText" text="$H$7">
      <formula>NOT(ISERROR(SEARCH($H$7,E150)))</formula>
      <formula>$H$7</formula>
    </cfRule>
    <cfRule type="containsText" dxfId="422" priority="623" operator="containsText" text="$H$8">
      <formula>NOT(ISERROR(SEARCH($H$8,E150)))</formula>
      <formula>$H$8</formula>
    </cfRule>
    <cfRule type="containsText" dxfId="421" priority="622" operator="containsText" text="$H$8">
      <formula>NOT(ISERROR(SEARCH($H$8,E150)))</formula>
      <formula>$H$8</formula>
    </cfRule>
    <cfRule type="containsText" dxfId="420" priority="621" operator="containsText" text="$H$9">
      <formula>NOT(ISERROR(SEARCH($H$9,E150)))</formula>
      <formula>$H$9</formula>
    </cfRule>
    <cfRule type="containsText" dxfId="419" priority="620" operator="containsText" text="$H$10">
      <formula>NOT(ISERROR(SEARCH($H$10,E150)))</formula>
      <formula>$H$10</formula>
    </cfRule>
    <cfRule type="containsText" dxfId="418" priority="619" operator="containsText" text="$H$11">
      <formula>NOT(ISERROR(SEARCH($H$11,E150)))</formula>
      <formula>$H$11</formula>
    </cfRule>
    <cfRule type="containsText" dxfId="417" priority="618" operator="containsText" text="$H$12">
      <formula>NOT(ISERROR(SEARCH($H$12,E150)))</formula>
      <formula>$H$12</formula>
    </cfRule>
    <cfRule type="containsText" dxfId="416" priority="617" operator="containsText" text="$H$13">
      <formula>NOT(ISERROR(SEARCH($H$13,E150)))</formula>
      <formula>$H$13</formula>
    </cfRule>
  </conditionalFormatting>
  <conditionalFormatting sqref="E150">
    <cfRule type="containsText" dxfId="415" priority="616" operator="containsText" text="$H$7">
      <formula>NOT(ISERROR(SEARCH($H$7,E150)))</formula>
      <formula>$H$7</formula>
    </cfRule>
    <cfRule type="containsText" dxfId="414" priority="615" operator="containsText" text="$H$8">
      <formula>NOT(ISERROR(SEARCH($H$8,E150)))</formula>
      <formula>$H$8</formula>
    </cfRule>
    <cfRule type="containsText" dxfId="413" priority="614" operator="containsText" text="$H$8">
      <formula>NOT(ISERROR(SEARCH($H$8,E150)))</formula>
      <formula>$H$8</formula>
    </cfRule>
    <cfRule type="containsText" dxfId="412" priority="613" operator="containsText" text="$H$9">
      <formula>NOT(ISERROR(SEARCH($H$9,E150)))</formula>
      <formula>$H$9</formula>
    </cfRule>
    <cfRule type="containsText" dxfId="411" priority="612" operator="containsText" text="$H$10">
      <formula>NOT(ISERROR(SEARCH($H$10,E150)))</formula>
      <formula>$H$10</formula>
    </cfRule>
    <cfRule type="containsText" dxfId="410" priority="611" operator="containsText" text="$H$11">
      <formula>NOT(ISERROR(SEARCH($H$11,E150)))</formula>
      <formula>$H$11</formula>
    </cfRule>
    <cfRule type="containsText" dxfId="409" priority="610" operator="containsText" text="$H$12">
      <formula>NOT(ISERROR(SEARCH($H$12,E150)))</formula>
      <formula>$H$12</formula>
    </cfRule>
    <cfRule type="containsText" dxfId="408" priority="609" operator="containsText" text="$H$13">
      <formula>NOT(ISERROR(SEARCH($H$13,E150)))</formula>
      <formula>$H$13</formula>
    </cfRule>
  </conditionalFormatting>
  <conditionalFormatting sqref="E152">
    <cfRule type="containsText" dxfId="407" priority="608" operator="containsText" text="$H$7">
      <formula>NOT(ISERROR(SEARCH($H$7,E152)))</formula>
      <formula>$H$7</formula>
    </cfRule>
    <cfRule type="containsText" dxfId="406" priority="607" operator="containsText" text="$H$8">
      <formula>NOT(ISERROR(SEARCH($H$8,E152)))</formula>
      <formula>$H$8</formula>
    </cfRule>
    <cfRule type="containsText" dxfId="405" priority="606" operator="containsText" text="$H$8">
      <formula>NOT(ISERROR(SEARCH($H$8,E152)))</formula>
      <formula>$H$8</formula>
    </cfRule>
    <cfRule type="containsText" dxfId="404" priority="605" operator="containsText" text="$H$9">
      <formula>NOT(ISERROR(SEARCH($H$9,E152)))</formula>
      <formula>$H$9</formula>
    </cfRule>
    <cfRule type="containsText" dxfId="403" priority="604" operator="containsText" text="$H$10">
      <formula>NOT(ISERROR(SEARCH($H$10,E152)))</formula>
      <formula>$H$10</formula>
    </cfRule>
    <cfRule type="containsText" dxfId="402" priority="603" operator="containsText" text="$H$11">
      <formula>NOT(ISERROR(SEARCH($H$11,E152)))</formula>
      <formula>$H$11</formula>
    </cfRule>
    <cfRule type="containsText" dxfId="401" priority="602" operator="containsText" text="$H$12">
      <formula>NOT(ISERROR(SEARCH($H$12,E152)))</formula>
      <formula>$H$12</formula>
    </cfRule>
    <cfRule type="containsText" dxfId="400" priority="601" operator="containsText" text="$H$13">
      <formula>NOT(ISERROR(SEARCH($H$13,E152)))</formula>
      <formula>$H$13</formula>
    </cfRule>
  </conditionalFormatting>
  <conditionalFormatting sqref="E152">
    <cfRule type="containsText" dxfId="399" priority="600" operator="containsText" text="$H$7">
      <formula>NOT(ISERROR(SEARCH($H$7,E152)))</formula>
      <formula>$H$7</formula>
    </cfRule>
    <cfRule type="containsText" dxfId="398" priority="599" operator="containsText" text="$H$8">
      <formula>NOT(ISERROR(SEARCH($H$8,E152)))</formula>
      <formula>$H$8</formula>
    </cfRule>
    <cfRule type="containsText" dxfId="397" priority="598" operator="containsText" text="$H$8">
      <formula>NOT(ISERROR(SEARCH($H$8,E152)))</formula>
      <formula>$H$8</formula>
    </cfRule>
    <cfRule type="containsText" dxfId="396" priority="597" operator="containsText" text="$H$9">
      <formula>NOT(ISERROR(SEARCH($H$9,E152)))</formula>
      <formula>$H$9</formula>
    </cfRule>
    <cfRule type="containsText" dxfId="395" priority="596" operator="containsText" text="$H$10">
      <formula>NOT(ISERROR(SEARCH($H$10,E152)))</formula>
      <formula>$H$10</formula>
    </cfRule>
    <cfRule type="containsText" dxfId="394" priority="595" operator="containsText" text="$H$11">
      <formula>NOT(ISERROR(SEARCH($H$11,E152)))</formula>
      <formula>$H$11</formula>
    </cfRule>
    <cfRule type="containsText" dxfId="393" priority="594" operator="containsText" text="$H$12">
      <formula>NOT(ISERROR(SEARCH($H$12,E152)))</formula>
      <formula>$H$12</formula>
    </cfRule>
    <cfRule type="containsText" dxfId="392" priority="593" operator="containsText" text="$H$13">
      <formula>NOT(ISERROR(SEARCH($H$13,E152)))</formula>
      <formula>$H$13</formula>
    </cfRule>
  </conditionalFormatting>
  <conditionalFormatting sqref="E154">
    <cfRule type="containsText" dxfId="391" priority="592" operator="containsText" text="$H$7">
      <formula>NOT(ISERROR(SEARCH($H$7,E154)))</formula>
      <formula>$H$7</formula>
    </cfRule>
    <cfRule type="containsText" dxfId="390" priority="591" operator="containsText" text="$H$8">
      <formula>NOT(ISERROR(SEARCH($H$8,E154)))</formula>
      <formula>$H$8</formula>
    </cfRule>
    <cfRule type="containsText" dxfId="389" priority="590" operator="containsText" text="$H$8">
      <formula>NOT(ISERROR(SEARCH($H$8,E154)))</formula>
      <formula>$H$8</formula>
    </cfRule>
    <cfRule type="containsText" dxfId="388" priority="589" operator="containsText" text="$H$9">
      <formula>NOT(ISERROR(SEARCH($H$9,E154)))</formula>
      <formula>$H$9</formula>
    </cfRule>
    <cfRule type="containsText" dxfId="387" priority="588" operator="containsText" text="$H$10">
      <formula>NOT(ISERROR(SEARCH($H$10,E154)))</formula>
      <formula>$H$10</formula>
    </cfRule>
    <cfRule type="containsText" dxfId="386" priority="587" operator="containsText" text="$H$11">
      <formula>NOT(ISERROR(SEARCH($H$11,E154)))</formula>
      <formula>$H$11</formula>
    </cfRule>
    <cfRule type="containsText" dxfId="385" priority="586" operator="containsText" text="$H$12">
      <formula>NOT(ISERROR(SEARCH($H$12,E154)))</formula>
      <formula>$H$12</formula>
    </cfRule>
    <cfRule type="containsText" dxfId="384" priority="585" operator="containsText" text="$H$13">
      <formula>NOT(ISERROR(SEARCH($H$13,E154)))</formula>
      <formula>$H$13</formula>
    </cfRule>
  </conditionalFormatting>
  <conditionalFormatting sqref="E154">
    <cfRule type="containsText" dxfId="383" priority="584" operator="containsText" text="$H$7">
      <formula>NOT(ISERROR(SEARCH($H$7,E154)))</formula>
      <formula>$H$7</formula>
    </cfRule>
    <cfRule type="containsText" dxfId="382" priority="583" operator="containsText" text="$H$8">
      <formula>NOT(ISERROR(SEARCH($H$8,E154)))</formula>
      <formula>$H$8</formula>
    </cfRule>
    <cfRule type="containsText" dxfId="381" priority="582" operator="containsText" text="$H$8">
      <formula>NOT(ISERROR(SEARCH($H$8,E154)))</formula>
      <formula>$H$8</formula>
    </cfRule>
    <cfRule type="containsText" dxfId="380" priority="581" operator="containsText" text="$H$9">
      <formula>NOT(ISERROR(SEARCH($H$9,E154)))</formula>
      <formula>$H$9</formula>
    </cfRule>
    <cfRule type="containsText" dxfId="379" priority="580" operator="containsText" text="$H$10">
      <formula>NOT(ISERROR(SEARCH($H$10,E154)))</formula>
      <formula>$H$10</formula>
    </cfRule>
    <cfRule type="containsText" dxfId="378" priority="579" operator="containsText" text="$H$11">
      <formula>NOT(ISERROR(SEARCH($H$11,E154)))</formula>
      <formula>$H$11</formula>
    </cfRule>
    <cfRule type="containsText" dxfId="377" priority="578" operator="containsText" text="$H$12">
      <formula>NOT(ISERROR(SEARCH($H$12,E154)))</formula>
      <formula>$H$12</formula>
    </cfRule>
    <cfRule type="containsText" dxfId="376" priority="577" operator="containsText" text="$H$13">
      <formula>NOT(ISERROR(SEARCH($H$13,E154)))</formula>
      <formula>$H$13</formula>
    </cfRule>
  </conditionalFormatting>
  <conditionalFormatting sqref="E156">
    <cfRule type="containsText" dxfId="375" priority="576" operator="containsText" text="$H$7">
      <formula>NOT(ISERROR(SEARCH($H$7,E156)))</formula>
      <formula>$H$7</formula>
    </cfRule>
    <cfRule type="containsText" dxfId="374" priority="575" operator="containsText" text="$H$8">
      <formula>NOT(ISERROR(SEARCH($H$8,E156)))</formula>
      <formula>$H$8</formula>
    </cfRule>
    <cfRule type="containsText" dxfId="373" priority="574" operator="containsText" text="$H$8">
      <formula>NOT(ISERROR(SEARCH($H$8,E156)))</formula>
      <formula>$H$8</formula>
    </cfRule>
    <cfRule type="containsText" dxfId="372" priority="573" operator="containsText" text="$H$9">
      <formula>NOT(ISERROR(SEARCH($H$9,E156)))</formula>
      <formula>$H$9</formula>
    </cfRule>
    <cfRule type="containsText" dxfId="371" priority="572" operator="containsText" text="$H$10">
      <formula>NOT(ISERROR(SEARCH($H$10,E156)))</formula>
      <formula>$H$10</formula>
    </cfRule>
    <cfRule type="containsText" dxfId="370" priority="571" operator="containsText" text="$H$11">
      <formula>NOT(ISERROR(SEARCH($H$11,E156)))</formula>
      <formula>$H$11</formula>
    </cfRule>
    <cfRule type="containsText" dxfId="369" priority="570" operator="containsText" text="$H$12">
      <formula>NOT(ISERROR(SEARCH($H$12,E156)))</formula>
      <formula>$H$12</formula>
    </cfRule>
    <cfRule type="containsText" dxfId="368" priority="569" operator="containsText" text="$H$13">
      <formula>NOT(ISERROR(SEARCH($H$13,E156)))</formula>
      <formula>$H$13</formula>
    </cfRule>
  </conditionalFormatting>
  <conditionalFormatting sqref="E156">
    <cfRule type="containsText" dxfId="367" priority="568" operator="containsText" text="$H$7">
      <formula>NOT(ISERROR(SEARCH($H$7,E156)))</formula>
      <formula>$H$7</formula>
    </cfRule>
    <cfRule type="containsText" dxfId="366" priority="567" operator="containsText" text="$H$8">
      <formula>NOT(ISERROR(SEARCH($H$8,E156)))</formula>
      <formula>$H$8</formula>
    </cfRule>
    <cfRule type="containsText" dxfId="365" priority="566" operator="containsText" text="$H$8">
      <formula>NOT(ISERROR(SEARCH($H$8,E156)))</formula>
      <formula>$H$8</formula>
    </cfRule>
    <cfRule type="containsText" dxfId="364" priority="565" operator="containsText" text="$H$9">
      <formula>NOT(ISERROR(SEARCH($H$9,E156)))</formula>
      <formula>$H$9</formula>
    </cfRule>
    <cfRule type="containsText" dxfId="363" priority="564" operator="containsText" text="$H$10">
      <formula>NOT(ISERROR(SEARCH($H$10,E156)))</formula>
      <formula>$H$10</formula>
    </cfRule>
    <cfRule type="containsText" dxfId="362" priority="563" operator="containsText" text="$H$11">
      <formula>NOT(ISERROR(SEARCH($H$11,E156)))</formula>
      <formula>$H$11</formula>
    </cfRule>
    <cfRule type="containsText" dxfId="361" priority="562" operator="containsText" text="$H$12">
      <formula>NOT(ISERROR(SEARCH($H$12,E156)))</formula>
      <formula>$H$12</formula>
    </cfRule>
    <cfRule type="containsText" dxfId="360" priority="561" operator="containsText" text="$H$13">
      <formula>NOT(ISERROR(SEARCH($H$13,E156)))</formula>
      <formula>$H$13</formula>
    </cfRule>
  </conditionalFormatting>
  <conditionalFormatting sqref="B186">
    <cfRule type="containsText" dxfId="359" priority="480" operator="containsText" text="$H$7">
      <formula>NOT(ISERROR(SEARCH($H$7,B186)))</formula>
      <formula>$H$7</formula>
    </cfRule>
    <cfRule type="containsText" dxfId="358" priority="479" operator="containsText" text="$H$8">
      <formula>NOT(ISERROR(SEARCH($H$8,B186)))</formula>
      <formula>$H$8</formula>
    </cfRule>
    <cfRule type="containsText" dxfId="357" priority="478" operator="containsText" text="$H$8">
      <formula>NOT(ISERROR(SEARCH($H$8,B186)))</formula>
      <formula>$H$8</formula>
    </cfRule>
    <cfRule type="containsText" dxfId="356" priority="477" operator="containsText" text="$H$9">
      <formula>NOT(ISERROR(SEARCH($H$9,B186)))</formula>
      <formula>$H$9</formula>
    </cfRule>
    <cfRule type="containsText" dxfId="355" priority="476" operator="containsText" text="$H$10">
      <formula>NOT(ISERROR(SEARCH($H$10,B186)))</formula>
      <formula>$H$10</formula>
    </cfRule>
    <cfRule type="containsText" dxfId="354" priority="475" operator="containsText" text="$H$11">
      <formula>NOT(ISERROR(SEARCH($H$11,B186)))</formula>
      <formula>$H$11</formula>
    </cfRule>
    <cfRule type="containsText" dxfId="353" priority="474" operator="containsText" text="$H$12">
      <formula>NOT(ISERROR(SEARCH($H$12,B186)))</formula>
      <formula>$H$12</formula>
    </cfRule>
    <cfRule type="containsText" dxfId="352" priority="473" operator="containsText" text="$H$13">
      <formula>NOT(ISERROR(SEARCH($H$13,B186)))</formula>
      <formula>$H$13</formula>
    </cfRule>
  </conditionalFormatting>
  <conditionalFormatting sqref="B186">
    <cfRule type="containsText" dxfId="351" priority="472" operator="containsText" text="$H$7">
      <formula>NOT(ISERROR(SEARCH($H$7,B186)))</formula>
      <formula>$H$7</formula>
    </cfRule>
    <cfRule type="containsText" dxfId="350" priority="471" operator="containsText" text="$H$8">
      <formula>NOT(ISERROR(SEARCH($H$8,B186)))</formula>
      <formula>$H$8</formula>
    </cfRule>
    <cfRule type="containsText" dxfId="349" priority="470" operator="containsText" text="$H$8">
      <formula>NOT(ISERROR(SEARCH($H$8,B186)))</formula>
      <formula>$H$8</formula>
    </cfRule>
    <cfRule type="containsText" dxfId="348" priority="469" operator="containsText" text="$H$9">
      <formula>NOT(ISERROR(SEARCH($H$9,B186)))</formula>
      <formula>$H$9</formula>
    </cfRule>
    <cfRule type="containsText" dxfId="347" priority="468" operator="containsText" text="$H$10">
      <formula>NOT(ISERROR(SEARCH($H$10,B186)))</formula>
      <formula>$H$10</formula>
    </cfRule>
    <cfRule type="containsText" dxfId="346" priority="467" operator="containsText" text="$H$11">
      <formula>NOT(ISERROR(SEARCH($H$11,B186)))</formula>
      <formula>$H$11</formula>
    </cfRule>
    <cfRule type="containsText" dxfId="345" priority="466" operator="containsText" text="$H$12">
      <formula>NOT(ISERROR(SEARCH($H$12,B186)))</formula>
      <formula>$H$12</formula>
    </cfRule>
    <cfRule type="containsText" dxfId="344" priority="465" operator="containsText" text="$H$13">
      <formula>NOT(ISERROR(SEARCH($H$13,B186)))</formula>
      <formula>$H$13</formula>
    </cfRule>
  </conditionalFormatting>
  <conditionalFormatting sqref="D176">
    <cfRule type="containsText" dxfId="343" priority="464" operator="containsText" text="$H$7">
      <formula>NOT(ISERROR(SEARCH($H$7,D176)))</formula>
      <formula>$H$7</formula>
    </cfRule>
    <cfRule type="containsText" dxfId="342" priority="463" operator="containsText" text="$H$8">
      <formula>NOT(ISERROR(SEARCH($H$8,D176)))</formula>
      <formula>$H$8</formula>
    </cfRule>
    <cfRule type="containsText" dxfId="341" priority="462" operator="containsText" text="$H$8">
      <formula>NOT(ISERROR(SEARCH($H$8,D176)))</formula>
      <formula>$H$8</formula>
    </cfRule>
    <cfRule type="containsText" dxfId="340" priority="461" operator="containsText" text="$H$9">
      <formula>NOT(ISERROR(SEARCH($H$9,D176)))</formula>
      <formula>$H$9</formula>
    </cfRule>
    <cfRule type="containsText" dxfId="339" priority="460" operator="containsText" text="$H$10">
      <formula>NOT(ISERROR(SEARCH($H$10,D176)))</formula>
      <formula>$H$10</formula>
    </cfRule>
    <cfRule type="containsText" dxfId="338" priority="459" operator="containsText" text="$H$11">
      <formula>NOT(ISERROR(SEARCH($H$11,D176)))</formula>
      <formula>$H$11</formula>
    </cfRule>
    <cfRule type="containsText" dxfId="337" priority="458" operator="containsText" text="$H$12">
      <formula>NOT(ISERROR(SEARCH($H$12,D176)))</formula>
      <formula>$H$12</formula>
    </cfRule>
    <cfRule type="containsText" dxfId="336" priority="457" operator="containsText" text="$H$13">
      <formula>NOT(ISERROR(SEARCH($H$13,D176)))</formula>
      <formula>$H$13</formula>
    </cfRule>
  </conditionalFormatting>
  <conditionalFormatting sqref="D176">
    <cfRule type="containsText" dxfId="335" priority="456" operator="containsText" text="$H$7">
      <formula>NOT(ISERROR(SEARCH($H$7,D176)))</formula>
      <formula>$H$7</formula>
    </cfRule>
    <cfRule type="containsText" dxfId="334" priority="455" operator="containsText" text="$H$8">
      <formula>NOT(ISERROR(SEARCH($H$8,D176)))</formula>
      <formula>$H$8</formula>
    </cfRule>
    <cfRule type="containsText" dxfId="333" priority="454" operator="containsText" text="$H$8">
      <formula>NOT(ISERROR(SEARCH($H$8,D176)))</formula>
      <formula>$H$8</formula>
    </cfRule>
    <cfRule type="containsText" dxfId="332" priority="453" operator="containsText" text="$H$9">
      <formula>NOT(ISERROR(SEARCH($H$9,D176)))</formula>
      <formula>$H$9</formula>
    </cfRule>
    <cfRule type="containsText" dxfId="331" priority="452" operator="containsText" text="$H$10">
      <formula>NOT(ISERROR(SEARCH($H$10,D176)))</formula>
      <formula>$H$10</formula>
    </cfRule>
    <cfRule type="containsText" dxfId="330" priority="451" operator="containsText" text="$H$11">
      <formula>NOT(ISERROR(SEARCH($H$11,D176)))</formula>
      <formula>$H$11</formula>
    </cfRule>
    <cfRule type="containsText" dxfId="329" priority="450" operator="containsText" text="$H$12">
      <formula>NOT(ISERROR(SEARCH($H$12,D176)))</formula>
      <formula>$H$12</formula>
    </cfRule>
    <cfRule type="containsText" dxfId="328" priority="449" operator="containsText" text="$H$13">
      <formula>NOT(ISERROR(SEARCH($H$13,D176)))</formula>
      <formula>$H$13</formula>
    </cfRule>
  </conditionalFormatting>
  <conditionalFormatting sqref="D178">
    <cfRule type="containsText" dxfId="327" priority="448" operator="containsText" text="$H$7">
      <formula>NOT(ISERROR(SEARCH($H$7,D178)))</formula>
      <formula>$H$7</formula>
    </cfRule>
    <cfRule type="containsText" dxfId="326" priority="447" operator="containsText" text="$H$8">
      <formula>NOT(ISERROR(SEARCH($H$8,D178)))</formula>
      <formula>$H$8</formula>
    </cfRule>
    <cfRule type="containsText" dxfId="325" priority="446" operator="containsText" text="$H$8">
      <formula>NOT(ISERROR(SEARCH($H$8,D178)))</formula>
      <formula>$H$8</formula>
    </cfRule>
    <cfRule type="containsText" dxfId="324" priority="445" operator="containsText" text="$H$9">
      <formula>NOT(ISERROR(SEARCH($H$9,D178)))</formula>
      <formula>$H$9</formula>
    </cfRule>
    <cfRule type="containsText" dxfId="323" priority="444" operator="containsText" text="$H$10">
      <formula>NOT(ISERROR(SEARCH($H$10,D178)))</formula>
      <formula>$H$10</formula>
    </cfRule>
    <cfRule type="containsText" dxfId="322" priority="443" operator="containsText" text="$H$11">
      <formula>NOT(ISERROR(SEARCH($H$11,D178)))</formula>
      <formula>$H$11</formula>
    </cfRule>
    <cfRule type="containsText" dxfId="321" priority="442" operator="containsText" text="$H$12">
      <formula>NOT(ISERROR(SEARCH($H$12,D178)))</formula>
      <formula>$H$12</formula>
    </cfRule>
    <cfRule type="containsText" dxfId="320" priority="441" operator="containsText" text="$H$13">
      <formula>NOT(ISERROR(SEARCH($H$13,D178)))</formula>
      <formula>$H$13</formula>
    </cfRule>
  </conditionalFormatting>
  <conditionalFormatting sqref="D178">
    <cfRule type="containsText" dxfId="319" priority="440" operator="containsText" text="$H$7">
      <formula>NOT(ISERROR(SEARCH($H$7,D178)))</formula>
      <formula>$H$7</formula>
    </cfRule>
    <cfRule type="containsText" dxfId="318" priority="439" operator="containsText" text="$H$8">
      <formula>NOT(ISERROR(SEARCH($H$8,D178)))</formula>
      <formula>$H$8</formula>
    </cfRule>
    <cfRule type="containsText" dxfId="317" priority="438" operator="containsText" text="$H$8">
      <formula>NOT(ISERROR(SEARCH($H$8,D178)))</formula>
      <formula>$H$8</formula>
    </cfRule>
    <cfRule type="containsText" dxfId="316" priority="437" operator="containsText" text="$H$9">
      <formula>NOT(ISERROR(SEARCH($H$9,D178)))</formula>
      <formula>$H$9</formula>
    </cfRule>
    <cfRule type="containsText" dxfId="315" priority="436" operator="containsText" text="$H$10">
      <formula>NOT(ISERROR(SEARCH($H$10,D178)))</formula>
      <formula>$H$10</formula>
    </cfRule>
    <cfRule type="containsText" dxfId="314" priority="435" operator="containsText" text="$H$11">
      <formula>NOT(ISERROR(SEARCH($H$11,D178)))</formula>
      <formula>$H$11</formula>
    </cfRule>
    <cfRule type="containsText" dxfId="313" priority="434" operator="containsText" text="$H$12">
      <formula>NOT(ISERROR(SEARCH($H$12,D178)))</formula>
      <formula>$H$12</formula>
    </cfRule>
    <cfRule type="containsText" dxfId="312" priority="433" operator="containsText" text="$H$13">
      <formula>NOT(ISERROR(SEARCH($H$13,D178)))</formula>
      <formula>$H$13</formula>
    </cfRule>
  </conditionalFormatting>
  <conditionalFormatting sqref="D180">
    <cfRule type="containsText" dxfId="311" priority="432" operator="containsText" text="$H$7">
      <formula>NOT(ISERROR(SEARCH($H$7,D180)))</formula>
      <formula>$H$7</formula>
    </cfRule>
    <cfRule type="containsText" dxfId="310" priority="431" operator="containsText" text="$H$8">
      <formula>NOT(ISERROR(SEARCH($H$8,D180)))</formula>
      <formula>$H$8</formula>
    </cfRule>
    <cfRule type="containsText" dxfId="309" priority="430" operator="containsText" text="$H$8">
      <formula>NOT(ISERROR(SEARCH($H$8,D180)))</formula>
      <formula>$H$8</formula>
    </cfRule>
    <cfRule type="containsText" dxfId="308" priority="429" operator="containsText" text="$H$9">
      <formula>NOT(ISERROR(SEARCH($H$9,D180)))</formula>
      <formula>$H$9</formula>
    </cfRule>
    <cfRule type="containsText" dxfId="307" priority="428" operator="containsText" text="$H$10">
      <formula>NOT(ISERROR(SEARCH($H$10,D180)))</formula>
      <formula>$H$10</formula>
    </cfRule>
    <cfRule type="containsText" dxfId="306" priority="427" operator="containsText" text="$H$11">
      <formula>NOT(ISERROR(SEARCH($H$11,D180)))</formula>
      <formula>$H$11</formula>
    </cfRule>
    <cfRule type="containsText" dxfId="305" priority="426" operator="containsText" text="$H$12">
      <formula>NOT(ISERROR(SEARCH($H$12,D180)))</formula>
      <formula>$H$12</formula>
    </cfRule>
    <cfRule type="containsText" dxfId="304" priority="425" operator="containsText" text="$H$13">
      <formula>NOT(ISERROR(SEARCH($H$13,D180)))</formula>
      <formula>$H$13</formula>
    </cfRule>
  </conditionalFormatting>
  <conditionalFormatting sqref="D180">
    <cfRule type="containsText" dxfId="303" priority="424" operator="containsText" text="$H$7">
      <formula>NOT(ISERROR(SEARCH($H$7,D180)))</formula>
      <formula>$H$7</formula>
    </cfRule>
    <cfRule type="containsText" dxfId="302" priority="423" operator="containsText" text="$H$8">
      <formula>NOT(ISERROR(SEARCH($H$8,D180)))</formula>
      <formula>$H$8</formula>
    </cfRule>
    <cfRule type="containsText" dxfId="301" priority="422" operator="containsText" text="$H$8">
      <formula>NOT(ISERROR(SEARCH($H$8,D180)))</formula>
      <formula>$H$8</formula>
    </cfRule>
    <cfRule type="containsText" dxfId="300" priority="421" operator="containsText" text="$H$9">
      <formula>NOT(ISERROR(SEARCH($H$9,D180)))</formula>
      <formula>$H$9</formula>
    </cfRule>
    <cfRule type="containsText" dxfId="299" priority="420" operator="containsText" text="$H$10">
      <formula>NOT(ISERROR(SEARCH($H$10,D180)))</formula>
      <formula>$H$10</formula>
    </cfRule>
    <cfRule type="containsText" dxfId="298" priority="419" operator="containsText" text="$H$11">
      <formula>NOT(ISERROR(SEARCH($H$11,D180)))</formula>
      <formula>$H$11</formula>
    </cfRule>
    <cfRule type="containsText" dxfId="297" priority="418" operator="containsText" text="$H$12">
      <formula>NOT(ISERROR(SEARCH($H$12,D180)))</formula>
      <formula>$H$12</formula>
    </cfRule>
    <cfRule type="containsText" dxfId="296" priority="417" operator="containsText" text="$H$13">
      <formula>NOT(ISERROR(SEARCH($H$13,D180)))</formula>
      <formula>$H$13</formula>
    </cfRule>
  </conditionalFormatting>
  <conditionalFormatting sqref="D182">
    <cfRule type="containsText" dxfId="295" priority="416" operator="containsText" text="$H$7">
      <formula>NOT(ISERROR(SEARCH($H$7,D182)))</formula>
      <formula>$H$7</formula>
    </cfRule>
    <cfRule type="containsText" dxfId="294" priority="415" operator="containsText" text="$H$8">
      <formula>NOT(ISERROR(SEARCH($H$8,D182)))</formula>
      <formula>$H$8</formula>
    </cfRule>
    <cfRule type="containsText" dxfId="293" priority="414" operator="containsText" text="$H$8">
      <formula>NOT(ISERROR(SEARCH($H$8,D182)))</formula>
      <formula>$H$8</formula>
    </cfRule>
    <cfRule type="containsText" dxfId="292" priority="413" operator="containsText" text="$H$9">
      <formula>NOT(ISERROR(SEARCH($H$9,D182)))</formula>
      <formula>$H$9</formula>
    </cfRule>
    <cfRule type="containsText" dxfId="291" priority="412" operator="containsText" text="$H$10">
      <formula>NOT(ISERROR(SEARCH($H$10,D182)))</formula>
      <formula>$H$10</formula>
    </cfRule>
    <cfRule type="containsText" dxfId="290" priority="411" operator="containsText" text="$H$11">
      <formula>NOT(ISERROR(SEARCH($H$11,D182)))</formula>
      <formula>$H$11</formula>
    </cfRule>
    <cfRule type="containsText" dxfId="289" priority="410" operator="containsText" text="$H$12">
      <formula>NOT(ISERROR(SEARCH($H$12,D182)))</formula>
      <formula>$H$12</formula>
    </cfRule>
    <cfRule type="containsText" dxfId="288" priority="409" operator="containsText" text="$H$13">
      <formula>NOT(ISERROR(SEARCH($H$13,D182)))</formula>
      <formula>$H$13</formula>
    </cfRule>
  </conditionalFormatting>
  <conditionalFormatting sqref="D182">
    <cfRule type="containsText" dxfId="287" priority="408" operator="containsText" text="$H$7">
      <formula>NOT(ISERROR(SEARCH($H$7,D182)))</formula>
      <formula>$H$7</formula>
    </cfRule>
    <cfRule type="containsText" dxfId="286" priority="407" operator="containsText" text="$H$8">
      <formula>NOT(ISERROR(SEARCH($H$8,D182)))</formula>
      <formula>$H$8</formula>
    </cfRule>
    <cfRule type="containsText" dxfId="285" priority="406" operator="containsText" text="$H$8">
      <formula>NOT(ISERROR(SEARCH($H$8,D182)))</formula>
      <formula>$H$8</formula>
    </cfRule>
    <cfRule type="containsText" dxfId="284" priority="405" operator="containsText" text="$H$9">
      <formula>NOT(ISERROR(SEARCH($H$9,D182)))</formula>
      <formula>$H$9</formula>
    </cfRule>
    <cfRule type="containsText" dxfId="283" priority="404" operator="containsText" text="$H$10">
      <formula>NOT(ISERROR(SEARCH($H$10,D182)))</formula>
      <formula>$H$10</formula>
    </cfRule>
    <cfRule type="containsText" dxfId="282" priority="403" operator="containsText" text="$H$11">
      <formula>NOT(ISERROR(SEARCH($H$11,D182)))</formula>
      <formula>$H$11</formula>
    </cfRule>
    <cfRule type="containsText" dxfId="281" priority="402" operator="containsText" text="$H$12">
      <formula>NOT(ISERROR(SEARCH($H$12,D182)))</formula>
      <formula>$H$12</formula>
    </cfRule>
    <cfRule type="containsText" dxfId="280" priority="401" operator="containsText" text="$H$13">
      <formula>NOT(ISERROR(SEARCH($H$13,D182)))</formula>
      <formula>$H$13</formula>
    </cfRule>
  </conditionalFormatting>
  <conditionalFormatting sqref="E168">
    <cfRule type="containsText" dxfId="279" priority="400" operator="containsText" text="$H$7">
      <formula>NOT(ISERROR(SEARCH($H$7,E168)))</formula>
      <formula>$H$7</formula>
    </cfRule>
    <cfRule type="containsText" dxfId="278" priority="399" operator="containsText" text="$H$8">
      <formula>NOT(ISERROR(SEARCH($H$8,E168)))</formula>
      <formula>$H$8</formula>
    </cfRule>
    <cfRule type="containsText" dxfId="277" priority="398" operator="containsText" text="$H$8">
      <formula>NOT(ISERROR(SEARCH($H$8,E168)))</formula>
      <formula>$H$8</formula>
    </cfRule>
    <cfRule type="containsText" dxfId="276" priority="397" operator="containsText" text="$H$9">
      <formula>NOT(ISERROR(SEARCH($H$9,E168)))</formula>
      <formula>$H$9</formula>
    </cfRule>
    <cfRule type="containsText" dxfId="275" priority="396" operator="containsText" text="$H$10">
      <formula>NOT(ISERROR(SEARCH($H$10,E168)))</formula>
      <formula>$H$10</formula>
    </cfRule>
    <cfRule type="containsText" dxfId="274" priority="395" operator="containsText" text="$H$11">
      <formula>NOT(ISERROR(SEARCH($H$11,E168)))</formula>
      <formula>$H$11</formula>
    </cfRule>
    <cfRule type="containsText" dxfId="273" priority="394" operator="containsText" text="$H$12">
      <formula>NOT(ISERROR(SEARCH($H$12,E168)))</formula>
      <formula>$H$12</formula>
    </cfRule>
    <cfRule type="containsText" dxfId="272" priority="393" operator="containsText" text="$H$13">
      <formula>NOT(ISERROR(SEARCH($H$13,E168)))</formula>
      <formula>$H$13</formula>
    </cfRule>
  </conditionalFormatting>
  <conditionalFormatting sqref="E168">
    <cfRule type="containsText" dxfId="271" priority="392" operator="containsText" text="$H$7">
      <formula>NOT(ISERROR(SEARCH($H$7,E168)))</formula>
      <formula>$H$7</formula>
    </cfRule>
    <cfRule type="containsText" dxfId="270" priority="391" operator="containsText" text="$H$8">
      <formula>NOT(ISERROR(SEARCH($H$8,E168)))</formula>
      <formula>$H$8</formula>
    </cfRule>
    <cfRule type="containsText" dxfId="269" priority="390" operator="containsText" text="$H$8">
      <formula>NOT(ISERROR(SEARCH($H$8,E168)))</formula>
      <formula>$H$8</formula>
    </cfRule>
    <cfRule type="containsText" dxfId="268" priority="389" operator="containsText" text="$H$9">
      <formula>NOT(ISERROR(SEARCH($H$9,E168)))</formula>
      <formula>$H$9</formula>
    </cfRule>
    <cfRule type="containsText" dxfId="267" priority="388" operator="containsText" text="$H$10">
      <formula>NOT(ISERROR(SEARCH($H$10,E168)))</formula>
      <formula>$H$10</formula>
    </cfRule>
    <cfRule type="containsText" dxfId="266" priority="387" operator="containsText" text="$H$11">
      <formula>NOT(ISERROR(SEARCH($H$11,E168)))</formula>
      <formula>$H$11</formula>
    </cfRule>
    <cfRule type="containsText" dxfId="265" priority="386" operator="containsText" text="$H$12">
      <formula>NOT(ISERROR(SEARCH($H$12,E168)))</formula>
      <formula>$H$12</formula>
    </cfRule>
    <cfRule type="containsText" dxfId="264" priority="385" operator="containsText" text="$H$13">
      <formula>NOT(ISERROR(SEARCH($H$13,E168)))</formula>
      <formula>$H$13</formula>
    </cfRule>
  </conditionalFormatting>
  <conditionalFormatting sqref="E170">
    <cfRule type="containsText" dxfId="263" priority="384" operator="containsText" text="$H$7">
      <formula>NOT(ISERROR(SEARCH($H$7,E170)))</formula>
      <formula>$H$7</formula>
    </cfRule>
    <cfRule type="containsText" dxfId="262" priority="383" operator="containsText" text="$H$8">
      <formula>NOT(ISERROR(SEARCH($H$8,E170)))</formula>
      <formula>$H$8</formula>
    </cfRule>
    <cfRule type="containsText" dxfId="261" priority="382" operator="containsText" text="$H$8">
      <formula>NOT(ISERROR(SEARCH($H$8,E170)))</formula>
      <formula>$H$8</formula>
    </cfRule>
    <cfRule type="containsText" dxfId="260" priority="381" operator="containsText" text="$H$9">
      <formula>NOT(ISERROR(SEARCH($H$9,E170)))</formula>
      <formula>$H$9</formula>
    </cfRule>
    <cfRule type="containsText" dxfId="259" priority="380" operator="containsText" text="$H$10">
      <formula>NOT(ISERROR(SEARCH($H$10,E170)))</formula>
      <formula>$H$10</formula>
    </cfRule>
    <cfRule type="containsText" dxfId="258" priority="379" operator="containsText" text="$H$11">
      <formula>NOT(ISERROR(SEARCH($H$11,E170)))</formula>
      <formula>$H$11</formula>
    </cfRule>
    <cfRule type="containsText" dxfId="257" priority="378" operator="containsText" text="$H$12">
      <formula>NOT(ISERROR(SEARCH($H$12,E170)))</formula>
      <formula>$H$12</formula>
    </cfRule>
    <cfRule type="containsText" dxfId="256" priority="377" operator="containsText" text="$H$13">
      <formula>NOT(ISERROR(SEARCH($H$13,E170)))</formula>
      <formula>$H$13</formula>
    </cfRule>
  </conditionalFormatting>
  <conditionalFormatting sqref="E170">
    <cfRule type="containsText" dxfId="255" priority="376" operator="containsText" text="$H$7">
      <formula>NOT(ISERROR(SEARCH($H$7,E170)))</formula>
      <formula>$H$7</formula>
    </cfRule>
    <cfRule type="containsText" dxfId="254" priority="375" operator="containsText" text="$H$8">
      <formula>NOT(ISERROR(SEARCH($H$8,E170)))</formula>
      <formula>$H$8</formula>
    </cfRule>
    <cfRule type="containsText" dxfId="253" priority="374" operator="containsText" text="$H$8">
      <formula>NOT(ISERROR(SEARCH($H$8,E170)))</formula>
      <formula>$H$8</formula>
    </cfRule>
    <cfRule type="containsText" dxfId="252" priority="373" operator="containsText" text="$H$9">
      <formula>NOT(ISERROR(SEARCH($H$9,E170)))</formula>
      <formula>$H$9</formula>
    </cfRule>
    <cfRule type="containsText" dxfId="251" priority="372" operator="containsText" text="$H$10">
      <formula>NOT(ISERROR(SEARCH($H$10,E170)))</formula>
      <formula>$H$10</formula>
    </cfRule>
    <cfRule type="containsText" dxfId="250" priority="371" operator="containsText" text="$H$11">
      <formula>NOT(ISERROR(SEARCH($H$11,E170)))</formula>
      <formula>$H$11</formula>
    </cfRule>
    <cfRule type="containsText" dxfId="249" priority="370" operator="containsText" text="$H$12">
      <formula>NOT(ISERROR(SEARCH($H$12,E170)))</formula>
      <formula>$H$12</formula>
    </cfRule>
    <cfRule type="containsText" dxfId="248" priority="369" operator="containsText" text="$H$13">
      <formula>NOT(ISERROR(SEARCH($H$13,E170)))</formula>
      <formula>$H$13</formula>
    </cfRule>
  </conditionalFormatting>
  <conditionalFormatting sqref="F168">
    <cfRule type="containsText" dxfId="247" priority="336" operator="containsText" text="$H$7">
      <formula>NOT(ISERROR(SEARCH($H$7,F168)))</formula>
      <formula>$H$7</formula>
    </cfRule>
    <cfRule type="containsText" dxfId="246" priority="335" operator="containsText" text="$H$8">
      <formula>NOT(ISERROR(SEARCH($H$8,F168)))</formula>
      <formula>$H$8</formula>
    </cfRule>
    <cfRule type="containsText" dxfId="245" priority="334" operator="containsText" text="$H$8">
      <formula>NOT(ISERROR(SEARCH($H$8,F168)))</formula>
      <formula>$H$8</formula>
    </cfRule>
    <cfRule type="containsText" dxfId="244" priority="333" operator="containsText" text="$H$9">
      <formula>NOT(ISERROR(SEARCH($H$9,F168)))</formula>
      <formula>$H$9</formula>
    </cfRule>
    <cfRule type="containsText" dxfId="243" priority="332" operator="containsText" text="$H$10">
      <formula>NOT(ISERROR(SEARCH($H$10,F168)))</formula>
      <formula>$H$10</formula>
    </cfRule>
    <cfRule type="containsText" dxfId="242" priority="331" operator="containsText" text="$H$11">
      <formula>NOT(ISERROR(SEARCH($H$11,F168)))</formula>
      <formula>$H$11</formula>
    </cfRule>
    <cfRule type="containsText" dxfId="241" priority="330" operator="containsText" text="$H$12">
      <formula>NOT(ISERROR(SEARCH($H$12,F168)))</formula>
      <formula>$H$12</formula>
    </cfRule>
    <cfRule type="containsText" dxfId="240" priority="329" operator="containsText" text="$H$13">
      <formula>NOT(ISERROR(SEARCH($H$13,F168)))</formula>
      <formula>$H$13</formula>
    </cfRule>
  </conditionalFormatting>
  <conditionalFormatting sqref="F168">
    <cfRule type="containsText" dxfId="239" priority="328" operator="containsText" text="$H$7">
      <formula>NOT(ISERROR(SEARCH($H$7,F168)))</formula>
      <formula>$H$7</formula>
    </cfRule>
    <cfRule type="containsText" dxfId="238" priority="327" operator="containsText" text="$H$8">
      <formula>NOT(ISERROR(SEARCH($H$8,F168)))</formula>
      <formula>$H$8</formula>
    </cfRule>
    <cfRule type="containsText" dxfId="237" priority="326" operator="containsText" text="$H$8">
      <formula>NOT(ISERROR(SEARCH($H$8,F168)))</formula>
      <formula>$H$8</formula>
    </cfRule>
    <cfRule type="containsText" dxfId="236" priority="325" operator="containsText" text="$H$9">
      <formula>NOT(ISERROR(SEARCH($H$9,F168)))</formula>
      <formula>$H$9</formula>
    </cfRule>
    <cfRule type="containsText" dxfId="235" priority="324" operator="containsText" text="$H$10">
      <formula>NOT(ISERROR(SEARCH($H$10,F168)))</formula>
      <formula>$H$10</formula>
    </cfRule>
    <cfRule type="containsText" dxfId="234" priority="323" operator="containsText" text="$H$11">
      <formula>NOT(ISERROR(SEARCH($H$11,F168)))</formula>
      <formula>$H$11</formula>
    </cfRule>
    <cfRule type="containsText" dxfId="233" priority="322" operator="containsText" text="$H$12">
      <formula>NOT(ISERROR(SEARCH($H$12,F168)))</formula>
      <formula>$H$12</formula>
    </cfRule>
    <cfRule type="containsText" dxfId="232" priority="321" operator="containsText" text="$H$13">
      <formula>NOT(ISERROR(SEARCH($H$13,F168)))</formula>
      <formula>$H$13</formula>
    </cfRule>
  </conditionalFormatting>
  <conditionalFormatting sqref="F170">
    <cfRule type="containsText" dxfId="231" priority="320" operator="containsText" text="$H$7">
      <formula>NOT(ISERROR(SEARCH($H$7,F170)))</formula>
      <formula>$H$7</formula>
    </cfRule>
    <cfRule type="containsText" dxfId="230" priority="319" operator="containsText" text="$H$8">
      <formula>NOT(ISERROR(SEARCH($H$8,F170)))</formula>
      <formula>$H$8</formula>
    </cfRule>
    <cfRule type="containsText" dxfId="229" priority="318" operator="containsText" text="$H$8">
      <formula>NOT(ISERROR(SEARCH($H$8,F170)))</formula>
      <formula>$H$8</formula>
    </cfRule>
    <cfRule type="containsText" dxfId="228" priority="317" operator="containsText" text="$H$9">
      <formula>NOT(ISERROR(SEARCH($H$9,F170)))</formula>
      <formula>$H$9</formula>
    </cfRule>
    <cfRule type="containsText" dxfId="227" priority="316" operator="containsText" text="$H$10">
      <formula>NOT(ISERROR(SEARCH($H$10,F170)))</formula>
      <formula>$H$10</formula>
    </cfRule>
    <cfRule type="containsText" dxfId="226" priority="315" operator="containsText" text="$H$11">
      <formula>NOT(ISERROR(SEARCH($H$11,F170)))</formula>
      <formula>$H$11</formula>
    </cfRule>
    <cfRule type="containsText" dxfId="225" priority="314" operator="containsText" text="$H$12">
      <formula>NOT(ISERROR(SEARCH($H$12,F170)))</formula>
      <formula>$H$12</formula>
    </cfRule>
    <cfRule type="containsText" dxfId="224" priority="313" operator="containsText" text="$H$13">
      <formula>NOT(ISERROR(SEARCH($H$13,F170)))</formula>
      <formula>$H$13</formula>
    </cfRule>
  </conditionalFormatting>
  <conditionalFormatting sqref="F170">
    <cfRule type="containsText" dxfId="223" priority="312" operator="containsText" text="$H$7">
      <formula>NOT(ISERROR(SEARCH($H$7,F170)))</formula>
      <formula>$H$7</formula>
    </cfRule>
    <cfRule type="containsText" dxfId="222" priority="311" operator="containsText" text="$H$8">
      <formula>NOT(ISERROR(SEARCH($H$8,F170)))</formula>
      <formula>$H$8</formula>
    </cfRule>
    <cfRule type="containsText" dxfId="221" priority="310" operator="containsText" text="$H$8">
      <formula>NOT(ISERROR(SEARCH($H$8,F170)))</formula>
      <formula>$H$8</formula>
    </cfRule>
    <cfRule type="containsText" dxfId="220" priority="309" operator="containsText" text="$H$9">
      <formula>NOT(ISERROR(SEARCH($H$9,F170)))</formula>
      <formula>$H$9</formula>
    </cfRule>
    <cfRule type="containsText" dxfId="219" priority="308" operator="containsText" text="$H$10">
      <formula>NOT(ISERROR(SEARCH($H$10,F170)))</formula>
      <formula>$H$10</formula>
    </cfRule>
    <cfRule type="containsText" dxfId="218" priority="307" operator="containsText" text="$H$11">
      <formula>NOT(ISERROR(SEARCH($H$11,F170)))</formula>
      <formula>$H$11</formula>
    </cfRule>
    <cfRule type="containsText" dxfId="217" priority="306" operator="containsText" text="$H$12">
      <formula>NOT(ISERROR(SEARCH($H$12,F170)))</formula>
      <formula>$H$12</formula>
    </cfRule>
    <cfRule type="containsText" dxfId="216" priority="305" operator="containsText" text="$H$13">
      <formula>NOT(ISERROR(SEARCH($H$13,F170)))</formula>
      <formula>$H$13</formula>
    </cfRule>
  </conditionalFormatting>
  <conditionalFormatting sqref="F158:F165">
    <cfRule type="containsText" dxfId="215" priority="217" operator="containsText" text="$H$13">
      <formula>NOT(ISERROR(SEARCH($H$13,F158)))</formula>
      <formula>$H$13</formula>
    </cfRule>
    <cfRule type="containsText" dxfId="214" priority="218" operator="containsText" text="$H$12">
      <formula>NOT(ISERROR(SEARCH($H$12,F158)))</formula>
      <formula>$H$12</formula>
    </cfRule>
    <cfRule type="containsText" dxfId="213" priority="219" operator="containsText" text="$H$11">
      <formula>NOT(ISERROR(SEARCH($H$11,F158)))</formula>
      <formula>$H$11</formula>
    </cfRule>
    <cfRule type="containsText" dxfId="212" priority="220" operator="containsText" text="$H$10">
      <formula>NOT(ISERROR(SEARCH($H$10,F158)))</formula>
      <formula>$H$10</formula>
    </cfRule>
    <cfRule type="containsText" dxfId="211" priority="221" operator="containsText" text="$H$9">
      <formula>NOT(ISERROR(SEARCH($H$9,F158)))</formula>
      <formula>$H$9</formula>
    </cfRule>
    <cfRule type="containsText" dxfId="210" priority="222" operator="containsText" text="$H$8">
      <formula>NOT(ISERROR(SEARCH($H$8,F158)))</formula>
      <formula>$H$8</formula>
    </cfRule>
    <cfRule type="containsText" dxfId="209" priority="223" operator="containsText" text="$H$8">
      <formula>NOT(ISERROR(SEARCH($H$8,F158)))</formula>
      <formula>$H$8</formula>
    </cfRule>
    <cfRule type="containsText" dxfId="208" priority="224" operator="containsText" text="$H$7">
      <formula>NOT(ISERROR(SEARCH($H$7,F158)))</formula>
      <formula>$H$7</formula>
    </cfRule>
  </conditionalFormatting>
  <conditionalFormatting sqref="E172:E175">
    <cfRule type="containsText" dxfId="207" priority="209" operator="containsText" text="$H$13">
      <formula>NOT(ISERROR(SEARCH($H$13,E172)))</formula>
      <formula>$H$13</formula>
    </cfRule>
    <cfRule type="containsText" dxfId="206" priority="210" operator="containsText" text="$H$12">
      <formula>NOT(ISERROR(SEARCH($H$12,E172)))</formula>
      <formula>$H$12</formula>
    </cfRule>
    <cfRule type="containsText" dxfId="205" priority="211" operator="containsText" text="$H$11">
      <formula>NOT(ISERROR(SEARCH($H$11,E172)))</formula>
      <formula>$H$11</formula>
    </cfRule>
    <cfRule type="containsText" dxfId="204" priority="212" operator="containsText" text="$H$10">
      <formula>NOT(ISERROR(SEARCH($H$10,E172)))</formula>
      <formula>$H$10</formula>
    </cfRule>
    <cfRule type="containsText" dxfId="203" priority="213" operator="containsText" text="$H$9">
      <formula>NOT(ISERROR(SEARCH($H$9,E172)))</formula>
      <formula>$H$9</formula>
    </cfRule>
    <cfRule type="containsText" dxfId="202" priority="214" operator="containsText" text="$H$8">
      <formula>NOT(ISERROR(SEARCH($H$8,E172)))</formula>
      <formula>$H$8</formula>
    </cfRule>
    <cfRule type="containsText" dxfId="201" priority="215" operator="containsText" text="$H$8">
      <formula>NOT(ISERROR(SEARCH($H$8,E172)))</formula>
      <formula>$H$8</formula>
    </cfRule>
    <cfRule type="containsText" dxfId="200" priority="216" operator="containsText" text="$H$7">
      <formula>NOT(ISERROR(SEARCH($H$7,E172)))</formula>
      <formula>$H$7</formula>
    </cfRule>
  </conditionalFormatting>
  <conditionalFormatting sqref="E172:E175">
    <cfRule type="containsText" dxfId="199" priority="201" operator="containsText" text="$H$13">
      <formula>NOT(ISERROR(SEARCH($H$13,E172)))</formula>
      <formula>$H$13</formula>
    </cfRule>
    <cfRule type="containsText" dxfId="198" priority="202" operator="containsText" text="$H$12">
      <formula>NOT(ISERROR(SEARCH($H$12,E172)))</formula>
      <formula>$H$12</formula>
    </cfRule>
    <cfRule type="containsText" dxfId="197" priority="203" operator="containsText" text="$H$11">
      <formula>NOT(ISERROR(SEARCH($H$11,E172)))</formula>
      <formula>$H$11</formula>
    </cfRule>
    <cfRule type="containsText" dxfId="196" priority="204" operator="containsText" text="$H$10">
      <formula>NOT(ISERROR(SEARCH($H$10,E172)))</formula>
      <formula>$H$10</formula>
    </cfRule>
    <cfRule type="containsText" dxfId="195" priority="205" operator="containsText" text="$H$9">
      <formula>NOT(ISERROR(SEARCH($H$9,E172)))</formula>
      <formula>$H$9</formula>
    </cfRule>
    <cfRule type="containsText" dxfId="194" priority="206" operator="containsText" text="$H$8">
      <formula>NOT(ISERROR(SEARCH($H$8,E172)))</formula>
      <formula>$H$8</formula>
    </cfRule>
    <cfRule type="containsText" dxfId="193" priority="207" operator="containsText" text="$H$8">
      <formula>NOT(ISERROR(SEARCH($H$8,E172)))</formula>
      <formula>$H$8</formula>
    </cfRule>
    <cfRule type="containsText" dxfId="192" priority="208" operator="containsText" text="$H$7">
      <formula>NOT(ISERROR(SEARCH($H$7,E172)))</formula>
      <formula>$H$7</formula>
    </cfRule>
  </conditionalFormatting>
  <conditionalFormatting sqref="F173 F175">
    <cfRule type="containsText" dxfId="191" priority="193" operator="containsText" text="=">
      <formula>"="</formula>
      <formula>$H$13</formula>
    </cfRule>
    <cfRule type="containsText" dxfId="190" priority="194" operator="containsText" text="=">
      <formula>"="</formula>
      <formula>$H$12</formula>
    </cfRule>
    <cfRule type="containsText" dxfId="189" priority="195" operator="containsText" text="=">
      <formula>"="</formula>
      <formula>$H$11</formula>
    </cfRule>
    <cfRule type="containsText" dxfId="188" priority="196" operator="containsText" text="=">
      <formula>"="</formula>
      <formula>$H$10</formula>
    </cfRule>
    <cfRule type="containsText" dxfId="187" priority="197" operator="containsText" text="=">
      <formula>"="</formula>
      <formula>$H$9</formula>
    </cfRule>
    <cfRule type="containsText" dxfId="186" priority="198" operator="containsText" text="=">
      <formula>"="</formula>
      <formula>$H$8</formula>
    </cfRule>
    <cfRule type="containsText" dxfId="185" priority="199" operator="containsText" text="=">
      <formula>"="</formula>
      <formula>$H$8</formula>
    </cfRule>
    <cfRule type="containsText" dxfId="184" priority="200" operator="containsText" text="=">
      <formula>"="</formula>
      <formula>$H$7</formula>
    </cfRule>
  </conditionalFormatting>
  <conditionalFormatting sqref="F172">
    <cfRule type="containsText" dxfId="183" priority="185" operator="containsText" text="$H$13">
      <formula>NOT(ISERROR(SEARCH($H$13,F172)))</formula>
      <formula>$H$13</formula>
    </cfRule>
    <cfRule type="containsText" dxfId="182" priority="186" operator="containsText" text="$H$12">
      <formula>NOT(ISERROR(SEARCH($H$12,F172)))</formula>
      <formula>$H$12</formula>
    </cfRule>
    <cfRule type="containsText" dxfId="181" priority="187" operator="containsText" text="$H$11">
      <formula>NOT(ISERROR(SEARCH($H$11,F172)))</formula>
      <formula>$H$11</formula>
    </cfRule>
    <cfRule type="containsText" dxfId="180" priority="188" operator="containsText" text="$H$10">
      <formula>NOT(ISERROR(SEARCH($H$10,F172)))</formula>
      <formula>$H$10</formula>
    </cfRule>
    <cfRule type="containsText" dxfId="179" priority="189" operator="containsText" text="$H$9">
      <formula>NOT(ISERROR(SEARCH($H$9,F172)))</formula>
      <formula>$H$9</formula>
    </cfRule>
    <cfRule type="containsText" dxfId="178" priority="190" operator="containsText" text="$H$8">
      <formula>NOT(ISERROR(SEARCH($H$8,F172)))</formula>
      <formula>$H$8</formula>
    </cfRule>
    <cfRule type="containsText" dxfId="177" priority="191" operator="containsText" text="$H$8">
      <formula>NOT(ISERROR(SEARCH($H$8,F172)))</formula>
      <formula>$H$8</formula>
    </cfRule>
    <cfRule type="containsText" dxfId="176" priority="192" operator="containsText" text="$H$7">
      <formula>NOT(ISERROR(SEARCH($H$7,F172)))</formula>
      <formula>$H$7</formula>
    </cfRule>
  </conditionalFormatting>
  <conditionalFormatting sqref="F172">
    <cfRule type="containsText" dxfId="175" priority="177" operator="containsText" text="$H$13">
      <formula>NOT(ISERROR(SEARCH($H$13,F172)))</formula>
      <formula>$H$13</formula>
    </cfRule>
    <cfRule type="containsText" dxfId="174" priority="178" operator="containsText" text="$H$12">
      <formula>NOT(ISERROR(SEARCH($H$12,F172)))</formula>
      <formula>$H$12</formula>
    </cfRule>
    <cfRule type="containsText" dxfId="173" priority="179" operator="containsText" text="$H$11">
      <formula>NOT(ISERROR(SEARCH($H$11,F172)))</formula>
      <formula>$H$11</formula>
    </cfRule>
    <cfRule type="containsText" dxfId="172" priority="180" operator="containsText" text="$H$10">
      <formula>NOT(ISERROR(SEARCH($H$10,F172)))</formula>
      <formula>$H$10</formula>
    </cfRule>
    <cfRule type="containsText" dxfId="171" priority="181" operator="containsText" text="$H$9">
      <formula>NOT(ISERROR(SEARCH($H$9,F172)))</formula>
      <formula>$H$9</formula>
    </cfRule>
    <cfRule type="containsText" dxfId="170" priority="182" operator="containsText" text="$H$8">
      <formula>NOT(ISERROR(SEARCH($H$8,F172)))</formula>
      <formula>$H$8</formula>
    </cfRule>
    <cfRule type="containsText" dxfId="169" priority="183" operator="containsText" text="$H$8">
      <formula>NOT(ISERROR(SEARCH($H$8,F172)))</formula>
      <formula>$H$8</formula>
    </cfRule>
    <cfRule type="containsText" dxfId="168" priority="184" operator="containsText" text="$H$7">
      <formula>NOT(ISERROR(SEARCH($H$7,F172)))</formula>
      <formula>$H$7</formula>
    </cfRule>
  </conditionalFormatting>
  <conditionalFormatting sqref="F174">
    <cfRule type="containsText" dxfId="167" priority="169" operator="containsText" text="$H$13">
      <formula>NOT(ISERROR(SEARCH($H$13,F174)))</formula>
      <formula>$H$13</formula>
    </cfRule>
    <cfRule type="containsText" dxfId="166" priority="170" operator="containsText" text="$H$12">
      <formula>NOT(ISERROR(SEARCH($H$12,F174)))</formula>
      <formula>$H$12</formula>
    </cfRule>
    <cfRule type="containsText" dxfId="165" priority="171" operator="containsText" text="$H$11">
      <formula>NOT(ISERROR(SEARCH($H$11,F174)))</formula>
      <formula>$H$11</formula>
    </cfRule>
    <cfRule type="containsText" dxfId="164" priority="172" operator="containsText" text="$H$10">
      <formula>NOT(ISERROR(SEARCH($H$10,F174)))</formula>
      <formula>$H$10</formula>
    </cfRule>
    <cfRule type="containsText" dxfId="163" priority="173" operator="containsText" text="$H$9">
      <formula>NOT(ISERROR(SEARCH($H$9,F174)))</formula>
      <formula>$H$9</formula>
    </cfRule>
    <cfRule type="containsText" dxfId="162" priority="174" operator="containsText" text="$H$8">
      <formula>NOT(ISERROR(SEARCH($H$8,F174)))</formula>
      <formula>$H$8</formula>
    </cfRule>
    <cfRule type="containsText" dxfId="161" priority="175" operator="containsText" text="$H$8">
      <formula>NOT(ISERROR(SEARCH($H$8,F174)))</formula>
      <formula>$H$8</formula>
    </cfRule>
    <cfRule type="containsText" dxfId="160" priority="176" operator="containsText" text="$H$7">
      <formula>NOT(ISERROR(SEARCH($H$7,F174)))</formula>
      <formula>$H$7</formula>
    </cfRule>
  </conditionalFormatting>
  <conditionalFormatting sqref="F174">
    <cfRule type="containsText" dxfId="159" priority="161" operator="containsText" text="$H$13">
      <formula>NOT(ISERROR(SEARCH($H$13,F174)))</formula>
      <formula>$H$13</formula>
    </cfRule>
    <cfRule type="containsText" dxfId="158" priority="162" operator="containsText" text="$H$12">
      <formula>NOT(ISERROR(SEARCH($H$12,F174)))</formula>
      <formula>$H$12</formula>
    </cfRule>
    <cfRule type="containsText" dxfId="157" priority="163" operator="containsText" text="$H$11">
      <formula>NOT(ISERROR(SEARCH($H$11,F174)))</formula>
      <formula>$H$11</formula>
    </cfRule>
    <cfRule type="containsText" dxfId="156" priority="164" operator="containsText" text="$H$10">
      <formula>NOT(ISERROR(SEARCH($H$10,F174)))</formula>
      <formula>$H$10</formula>
    </cfRule>
    <cfRule type="containsText" dxfId="155" priority="165" operator="containsText" text="$H$9">
      <formula>NOT(ISERROR(SEARCH($H$9,F174)))</formula>
      <formula>$H$9</formula>
    </cfRule>
    <cfRule type="containsText" dxfId="154" priority="166" operator="containsText" text="$H$8">
      <formula>NOT(ISERROR(SEARCH($H$8,F174)))</formula>
      <formula>$H$8</formula>
    </cfRule>
    <cfRule type="containsText" dxfId="153" priority="167" operator="containsText" text="$H$8">
      <formula>NOT(ISERROR(SEARCH($H$8,F174)))</formula>
      <formula>$H$8</formula>
    </cfRule>
    <cfRule type="containsText" dxfId="152" priority="168" operator="containsText" text="$H$7">
      <formula>NOT(ISERROR(SEARCH($H$7,F174)))</formula>
      <formula>$H$7</formula>
    </cfRule>
  </conditionalFormatting>
  <conditionalFormatting sqref="A24:A39">
    <cfRule type="containsText" dxfId="151" priority="153" operator="containsText" text="$H$13">
      <formula>NOT(ISERROR(SEARCH($H$13,A24)))</formula>
      <formula>$H$13</formula>
    </cfRule>
    <cfRule type="containsText" dxfId="150" priority="154" operator="containsText" text="$H$12">
      <formula>NOT(ISERROR(SEARCH($H$12,A24)))</formula>
      <formula>$H$12</formula>
    </cfRule>
    <cfRule type="containsText" dxfId="149" priority="155" operator="containsText" text="$H$11">
      <formula>NOT(ISERROR(SEARCH($H$11,A24)))</formula>
      <formula>$H$11</formula>
    </cfRule>
    <cfRule type="containsText" dxfId="148" priority="156" operator="containsText" text="$H$10">
      <formula>NOT(ISERROR(SEARCH($H$10,A24)))</formula>
      <formula>$H$10</formula>
    </cfRule>
    <cfRule type="containsText" dxfId="147" priority="157" operator="containsText" text="$H$9">
      <formula>NOT(ISERROR(SEARCH($H$9,A24)))</formula>
      <formula>$H$9</formula>
    </cfRule>
    <cfRule type="containsText" dxfId="146" priority="158" operator="containsText" text="$H$8">
      <formula>NOT(ISERROR(SEARCH($H$8,A24)))</formula>
      <formula>$H$8</formula>
    </cfRule>
    <cfRule type="containsText" dxfId="145" priority="159" operator="containsText" text="$H$8">
      <formula>NOT(ISERROR(SEARCH($H$8,A24)))</formula>
      <formula>$H$8</formula>
    </cfRule>
    <cfRule type="containsText" dxfId="144" priority="160" operator="containsText" text="$H$7">
      <formula>NOT(ISERROR(SEARCH($H$7,A24)))</formula>
      <formula>$H$7</formula>
    </cfRule>
  </conditionalFormatting>
  <conditionalFormatting sqref="A60:A75">
    <cfRule type="containsText" dxfId="143" priority="145" operator="containsText" text="$H$13">
      <formula>NOT(ISERROR(SEARCH($H$13,A60)))</formula>
      <formula>$H$13</formula>
    </cfRule>
    <cfRule type="containsText" dxfId="142" priority="146" operator="containsText" text="$H$12">
      <formula>NOT(ISERROR(SEARCH($H$12,A60)))</formula>
      <formula>$H$12</formula>
    </cfRule>
    <cfRule type="containsText" dxfId="141" priority="147" operator="containsText" text="$H$11">
      <formula>NOT(ISERROR(SEARCH($H$11,A60)))</formula>
      <formula>$H$11</formula>
    </cfRule>
    <cfRule type="containsText" dxfId="140" priority="148" operator="containsText" text="$H$10">
      <formula>NOT(ISERROR(SEARCH($H$10,A60)))</formula>
      <formula>$H$10</formula>
    </cfRule>
    <cfRule type="containsText" dxfId="139" priority="149" operator="containsText" text="$H$9">
      <formula>NOT(ISERROR(SEARCH($H$9,A60)))</formula>
      <formula>$H$9</formula>
    </cfRule>
    <cfRule type="containsText" dxfId="138" priority="150" operator="containsText" text="$H$8">
      <formula>NOT(ISERROR(SEARCH($H$8,A60)))</formula>
      <formula>$H$8</formula>
    </cfRule>
    <cfRule type="containsText" dxfId="137" priority="151" operator="containsText" text="$H$8">
      <formula>NOT(ISERROR(SEARCH($H$8,A60)))</formula>
      <formula>$H$8</formula>
    </cfRule>
    <cfRule type="containsText" dxfId="136" priority="152" operator="containsText" text="$H$7">
      <formula>NOT(ISERROR(SEARCH($H$7,A60)))</formula>
      <formula>$H$7</formula>
    </cfRule>
  </conditionalFormatting>
  <conditionalFormatting sqref="B32:B39">
    <cfRule type="containsText" dxfId="135" priority="137" operator="containsText" text="$H$13">
      <formula>NOT(ISERROR(SEARCH($H$13,B32)))</formula>
      <formula>$H$13</formula>
    </cfRule>
    <cfRule type="containsText" dxfId="134" priority="138" operator="containsText" text="$H$12">
      <formula>NOT(ISERROR(SEARCH($H$12,B32)))</formula>
      <formula>$H$12</formula>
    </cfRule>
    <cfRule type="containsText" dxfId="133" priority="139" operator="containsText" text="$H$11">
      <formula>NOT(ISERROR(SEARCH($H$11,B32)))</formula>
      <formula>$H$11</formula>
    </cfRule>
    <cfRule type="containsText" dxfId="132" priority="140" operator="containsText" text="$H$10">
      <formula>NOT(ISERROR(SEARCH($H$10,B32)))</formula>
      <formula>$H$10</formula>
    </cfRule>
    <cfRule type="containsText" dxfId="131" priority="141" operator="containsText" text="$H$9">
      <formula>NOT(ISERROR(SEARCH($H$9,B32)))</formula>
      <formula>$H$9</formula>
    </cfRule>
    <cfRule type="containsText" dxfId="130" priority="142" operator="containsText" text="$H$8">
      <formula>NOT(ISERROR(SEARCH($H$8,B32)))</formula>
      <formula>$H$8</formula>
    </cfRule>
    <cfRule type="containsText" dxfId="129" priority="143" operator="containsText" text="$H$8">
      <formula>NOT(ISERROR(SEARCH($H$8,B32)))</formula>
      <formula>$H$8</formula>
    </cfRule>
    <cfRule type="containsText" dxfId="128" priority="144" operator="containsText" text="$H$7">
      <formula>NOT(ISERROR(SEARCH($H$7,B32)))</formula>
      <formula>$H$7</formula>
    </cfRule>
  </conditionalFormatting>
  <conditionalFormatting sqref="B60:B67">
    <cfRule type="containsText" dxfId="127" priority="129" operator="containsText" text="$H$13">
      <formula>NOT(ISERROR(SEARCH($H$13,B60)))</formula>
      <formula>$H$13</formula>
    </cfRule>
    <cfRule type="containsText" dxfId="126" priority="130" operator="containsText" text="$H$12">
      <formula>NOT(ISERROR(SEARCH($H$12,B60)))</formula>
      <formula>$H$12</formula>
    </cfRule>
    <cfRule type="containsText" dxfId="125" priority="131" operator="containsText" text="$H$11">
      <formula>NOT(ISERROR(SEARCH($H$11,B60)))</formula>
      <formula>$H$11</formula>
    </cfRule>
    <cfRule type="containsText" dxfId="124" priority="132" operator="containsText" text="$H$10">
      <formula>NOT(ISERROR(SEARCH($H$10,B60)))</formula>
      <formula>$H$10</formula>
    </cfRule>
    <cfRule type="containsText" dxfId="123" priority="133" operator="containsText" text="$H$9">
      <formula>NOT(ISERROR(SEARCH($H$9,B60)))</formula>
      <formula>$H$9</formula>
    </cfRule>
    <cfRule type="containsText" dxfId="122" priority="134" operator="containsText" text="$H$8">
      <formula>NOT(ISERROR(SEARCH($H$8,B60)))</formula>
      <formula>$H$8</formula>
    </cfRule>
    <cfRule type="containsText" dxfId="121" priority="135" operator="containsText" text="$H$8">
      <formula>NOT(ISERROR(SEARCH($H$8,B60)))</formula>
      <formula>$H$8</formula>
    </cfRule>
    <cfRule type="containsText" dxfId="120" priority="136" operator="containsText" text="$H$7">
      <formula>NOT(ISERROR(SEARCH($H$7,B60)))</formula>
      <formula>$H$7</formula>
    </cfRule>
  </conditionalFormatting>
  <conditionalFormatting sqref="D42:D49">
    <cfRule type="containsText" dxfId="119" priority="121" operator="containsText" text="$H$13">
      <formula>NOT(ISERROR(SEARCH($H$13,D42)))</formula>
      <formula>$H$13</formula>
    </cfRule>
    <cfRule type="containsText" dxfId="118" priority="122" operator="containsText" text="$H$12">
      <formula>NOT(ISERROR(SEARCH($H$12,D42)))</formula>
      <formula>$H$12</formula>
    </cfRule>
    <cfRule type="containsText" dxfId="117" priority="123" operator="containsText" text="$H$11">
      <formula>NOT(ISERROR(SEARCH($H$11,D42)))</formula>
      <formula>$H$11</formula>
    </cfRule>
    <cfRule type="containsText" dxfId="116" priority="124" operator="containsText" text="$H$10">
      <formula>NOT(ISERROR(SEARCH($H$10,D42)))</formula>
      <formula>$H$10</formula>
    </cfRule>
    <cfRule type="containsText" dxfId="115" priority="125" operator="containsText" text="$H$9">
      <formula>NOT(ISERROR(SEARCH($H$9,D42)))</formula>
      <formula>$H$9</formula>
    </cfRule>
    <cfRule type="containsText" dxfId="114" priority="126" operator="containsText" text="$H$8">
      <formula>NOT(ISERROR(SEARCH($H$8,D42)))</formula>
      <formula>$H$8</formula>
    </cfRule>
    <cfRule type="containsText" dxfId="113" priority="127" operator="containsText" text="$H$8">
      <formula>NOT(ISERROR(SEARCH($H$8,D42)))</formula>
      <formula>$H$8</formula>
    </cfRule>
    <cfRule type="containsText" dxfId="112" priority="128" operator="containsText" text="$H$7">
      <formula>NOT(ISERROR(SEARCH($H$7,D42)))</formula>
      <formula>$H$7</formula>
    </cfRule>
  </conditionalFormatting>
  <conditionalFormatting sqref="F42:F49">
    <cfRule type="containsText" dxfId="111" priority="113" operator="containsText" text="$H$13">
      <formula>NOT(ISERROR(SEARCH($H$13,F42)))</formula>
      <formula>$H$13</formula>
    </cfRule>
    <cfRule type="containsText" dxfId="110" priority="114" operator="containsText" text="$H$12">
      <formula>NOT(ISERROR(SEARCH($H$12,F42)))</formula>
      <formula>$H$12</formula>
    </cfRule>
    <cfRule type="containsText" dxfId="109" priority="115" operator="containsText" text="$H$11">
      <formula>NOT(ISERROR(SEARCH($H$11,F42)))</formula>
      <formula>$H$11</formula>
    </cfRule>
    <cfRule type="containsText" dxfId="108" priority="116" operator="containsText" text="$H$10">
      <formula>NOT(ISERROR(SEARCH($H$10,F42)))</formula>
      <formula>$H$10</formula>
    </cfRule>
    <cfRule type="containsText" dxfId="107" priority="117" operator="containsText" text="$H$9">
      <formula>NOT(ISERROR(SEARCH($H$9,F42)))</formula>
      <formula>$H$9</formula>
    </cfRule>
    <cfRule type="containsText" dxfId="106" priority="118" operator="containsText" text="$H$8">
      <formula>NOT(ISERROR(SEARCH($H$8,F42)))</formula>
      <formula>$H$8</formula>
    </cfRule>
    <cfRule type="containsText" dxfId="105" priority="119" operator="containsText" text="$H$8">
      <formula>NOT(ISERROR(SEARCH($H$8,F42)))</formula>
      <formula>$H$8</formula>
    </cfRule>
    <cfRule type="containsText" dxfId="104" priority="120" operator="containsText" text="$H$7">
      <formula>NOT(ISERROR(SEARCH($H$7,F42)))</formula>
      <formula>$H$7</formula>
    </cfRule>
  </conditionalFormatting>
  <conditionalFormatting sqref="F150:F157">
    <cfRule type="containsText" dxfId="103" priority="105" operator="containsText" text="$H$13">
      <formula>NOT(ISERROR(SEARCH($H$13,F150)))</formula>
      <formula>$H$13</formula>
    </cfRule>
    <cfRule type="containsText" dxfId="102" priority="106" operator="containsText" text="$H$12">
      <formula>NOT(ISERROR(SEARCH($H$12,F150)))</formula>
      <formula>$H$12</formula>
    </cfRule>
    <cfRule type="containsText" dxfId="101" priority="107" operator="containsText" text="$H$11">
      <formula>NOT(ISERROR(SEARCH($H$11,F150)))</formula>
      <formula>$H$11</formula>
    </cfRule>
    <cfRule type="containsText" dxfId="100" priority="108" operator="containsText" text="$H$10">
      <formula>NOT(ISERROR(SEARCH($H$10,F150)))</formula>
      <formula>$H$10</formula>
    </cfRule>
    <cfRule type="containsText" dxfId="99" priority="109" operator="containsText" text="$H$9">
      <formula>NOT(ISERROR(SEARCH($H$9,F150)))</formula>
      <formula>$H$9</formula>
    </cfRule>
    <cfRule type="containsText" dxfId="98" priority="110" operator="containsText" text="$H$8">
      <formula>NOT(ISERROR(SEARCH($H$8,F150)))</formula>
      <formula>$H$8</formula>
    </cfRule>
    <cfRule type="containsText" dxfId="97" priority="111" operator="containsText" text="$H$8">
      <formula>NOT(ISERROR(SEARCH($H$8,F150)))</formula>
      <formula>$H$8</formula>
    </cfRule>
    <cfRule type="containsText" dxfId="96" priority="112" operator="containsText" text="$H$7">
      <formula>NOT(ISERROR(SEARCH($H$7,F150)))</formula>
      <formula>$H$7</formula>
    </cfRule>
  </conditionalFormatting>
  <conditionalFormatting sqref="F60:F67">
    <cfRule type="containsText" dxfId="95" priority="97" operator="containsText" text="$H$13">
      <formula>NOT(ISERROR(SEARCH($H$13,F60)))</formula>
      <formula>$H$13</formula>
    </cfRule>
    <cfRule type="containsText" dxfId="94" priority="98" operator="containsText" text="$H$12">
      <formula>NOT(ISERROR(SEARCH($H$12,F60)))</formula>
      <formula>$H$12</formula>
    </cfRule>
    <cfRule type="containsText" dxfId="93" priority="99" operator="containsText" text="$H$11">
      <formula>NOT(ISERROR(SEARCH($H$11,F60)))</formula>
      <formula>$H$11</formula>
    </cfRule>
    <cfRule type="containsText" dxfId="92" priority="100" operator="containsText" text="$H$10">
      <formula>NOT(ISERROR(SEARCH($H$10,F60)))</formula>
      <formula>$H$10</formula>
    </cfRule>
    <cfRule type="containsText" dxfId="91" priority="101" operator="containsText" text="$H$9">
      <formula>NOT(ISERROR(SEARCH($H$9,F60)))</formula>
      <formula>$H$9</formula>
    </cfRule>
    <cfRule type="containsText" dxfId="90" priority="102" operator="containsText" text="$H$8">
      <formula>NOT(ISERROR(SEARCH($H$8,F60)))</formula>
      <formula>$H$8</formula>
    </cfRule>
    <cfRule type="containsText" dxfId="89" priority="103" operator="containsText" text="$H$8">
      <formula>NOT(ISERROR(SEARCH($H$8,F60)))</formula>
      <formula>$H$8</formula>
    </cfRule>
    <cfRule type="containsText" dxfId="88" priority="104" operator="containsText" text="$H$7">
      <formula>NOT(ISERROR(SEARCH($H$7,F60)))</formula>
      <formula>$H$7</formula>
    </cfRule>
  </conditionalFormatting>
  <conditionalFormatting sqref="D105 D107 D109 D111">
    <cfRule type="containsText" dxfId="87" priority="89" operator="containsText" text="=">
      <formula>"="</formula>
      <formula>$H$13</formula>
    </cfRule>
    <cfRule type="containsText" dxfId="86" priority="90" operator="containsText" text="=">
      <formula>"="</formula>
      <formula>$H$12</formula>
    </cfRule>
    <cfRule type="containsText" dxfId="85" priority="91" operator="containsText" text="=">
      <formula>"="</formula>
      <formula>$H$11</formula>
    </cfRule>
    <cfRule type="containsText" dxfId="84" priority="92" operator="containsText" text="=">
      <formula>"="</formula>
      <formula>$H$10</formula>
    </cfRule>
    <cfRule type="containsText" dxfId="83" priority="93" operator="containsText" text="=">
      <formula>"="</formula>
      <formula>$H$9</formula>
    </cfRule>
    <cfRule type="containsText" dxfId="82" priority="94" operator="containsText" text="=">
      <formula>"="</formula>
      <formula>$H$8</formula>
    </cfRule>
    <cfRule type="containsText" dxfId="81" priority="95" operator="containsText" text="=">
      <formula>"="</formula>
      <formula>$H$8</formula>
    </cfRule>
    <cfRule type="containsText" dxfId="80" priority="96" operator="containsText" text="=">
      <formula>"="</formula>
      <formula>$H$7</formula>
    </cfRule>
  </conditionalFormatting>
  <conditionalFormatting sqref="D110">
    <cfRule type="containsText" dxfId="79" priority="81" operator="containsText" text="$H$13">
      <formula>NOT(ISERROR(SEARCH($H$13,D110)))</formula>
      <formula>$H$13</formula>
    </cfRule>
    <cfRule type="containsText" dxfId="78" priority="82" operator="containsText" text="$H$12">
      <formula>NOT(ISERROR(SEARCH($H$12,D110)))</formula>
      <formula>$H$12</formula>
    </cfRule>
    <cfRule type="containsText" dxfId="77" priority="83" operator="containsText" text="$H$11">
      <formula>NOT(ISERROR(SEARCH($H$11,D110)))</formula>
      <formula>$H$11</formula>
    </cfRule>
    <cfRule type="containsText" dxfId="76" priority="84" operator="containsText" text="$H$10">
      <formula>NOT(ISERROR(SEARCH($H$10,D110)))</formula>
      <formula>$H$10</formula>
    </cfRule>
    <cfRule type="containsText" dxfId="75" priority="85" operator="containsText" text="$H$9">
      <formula>NOT(ISERROR(SEARCH($H$9,D110)))</formula>
      <formula>$H$9</formula>
    </cfRule>
    <cfRule type="containsText" dxfId="74" priority="86" operator="containsText" text="$H$8">
      <formula>NOT(ISERROR(SEARCH($H$8,D110)))</formula>
      <formula>$H$8</formula>
    </cfRule>
    <cfRule type="containsText" dxfId="73" priority="87" operator="containsText" text="$H$8">
      <formula>NOT(ISERROR(SEARCH($H$8,D110)))</formula>
      <formula>$H$8</formula>
    </cfRule>
    <cfRule type="containsText" dxfId="72" priority="88" operator="containsText" text="$H$7">
      <formula>NOT(ISERROR(SEARCH($H$7,D110)))</formula>
      <formula>$H$7</formula>
    </cfRule>
  </conditionalFormatting>
  <conditionalFormatting sqref="D110">
    <cfRule type="containsText" dxfId="71" priority="73" operator="containsText" text="$H$13">
      <formula>NOT(ISERROR(SEARCH($H$13,D110)))</formula>
      <formula>$H$13</formula>
    </cfRule>
    <cfRule type="containsText" dxfId="70" priority="74" operator="containsText" text="$H$12">
      <formula>NOT(ISERROR(SEARCH($H$12,D110)))</formula>
      <formula>$H$12</formula>
    </cfRule>
    <cfRule type="containsText" dxfId="69" priority="75" operator="containsText" text="$H$11">
      <formula>NOT(ISERROR(SEARCH($H$11,D110)))</formula>
      <formula>$H$11</formula>
    </cfRule>
    <cfRule type="containsText" dxfId="68" priority="76" operator="containsText" text="$H$10">
      <formula>NOT(ISERROR(SEARCH($H$10,D110)))</formula>
      <formula>$H$10</formula>
    </cfRule>
    <cfRule type="containsText" dxfId="67" priority="77" operator="containsText" text="$H$9">
      <formula>NOT(ISERROR(SEARCH($H$9,D110)))</formula>
      <formula>$H$9</formula>
    </cfRule>
    <cfRule type="containsText" dxfId="66" priority="78" operator="containsText" text="$H$8">
      <formula>NOT(ISERROR(SEARCH($H$8,D110)))</formula>
      <formula>$H$8</formula>
    </cfRule>
    <cfRule type="containsText" dxfId="65" priority="79" operator="containsText" text="$H$8">
      <formula>NOT(ISERROR(SEARCH($H$8,D110)))</formula>
      <formula>$H$8</formula>
    </cfRule>
    <cfRule type="containsText" dxfId="64" priority="80" operator="containsText" text="$H$7">
      <formula>NOT(ISERROR(SEARCH($H$7,D110)))</formula>
      <formula>$H$7</formula>
    </cfRule>
  </conditionalFormatting>
  <conditionalFormatting sqref="D108">
    <cfRule type="containsText" dxfId="63" priority="65" operator="containsText" text="$H$13">
      <formula>NOT(ISERROR(SEARCH($H$13,D108)))</formula>
      <formula>$H$13</formula>
    </cfRule>
    <cfRule type="containsText" dxfId="62" priority="66" operator="containsText" text="$H$12">
      <formula>NOT(ISERROR(SEARCH($H$12,D108)))</formula>
      <formula>$H$12</formula>
    </cfRule>
    <cfRule type="containsText" dxfId="61" priority="67" operator="containsText" text="$H$11">
      <formula>NOT(ISERROR(SEARCH($H$11,D108)))</formula>
      <formula>$H$11</formula>
    </cfRule>
    <cfRule type="containsText" dxfId="60" priority="68" operator="containsText" text="$H$10">
      <formula>NOT(ISERROR(SEARCH($H$10,D108)))</formula>
      <formula>$H$10</formula>
    </cfRule>
    <cfRule type="containsText" dxfId="59" priority="69" operator="containsText" text="$H$9">
      <formula>NOT(ISERROR(SEARCH($H$9,D108)))</formula>
      <formula>$H$9</formula>
    </cfRule>
    <cfRule type="containsText" dxfId="58" priority="70" operator="containsText" text="$H$8">
      <formula>NOT(ISERROR(SEARCH($H$8,D108)))</formula>
      <formula>$H$8</formula>
    </cfRule>
    <cfRule type="containsText" dxfId="57" priority="71" operator="containsText" text="$H$8">
      <formula>NOT(ISERROR(SEARCH($H$8,D108)))</formula>
      <formula>$H$8</formula>
    </cfRule>
    <cfRule type="containsText" dxfId="56" priority="72" operator="containsText" text="$H$7">
      <formula>NOT(ISERROR(SEARCH($H$7,D108)))</formula>
      <formula>$H$7</formula>
    </cfRule>
  </conditionalFormatting>
  <conditionalFormatting sqref="D108">
    <cfRule type="containsText" dxfId="55" priority="57" operator="containsText" text="$H$13">
      <formula>NOT(ISERROR(SEARCH($H$13,D108)))</formula>
      <formula>$H$13</formula>
    </cfRule>
    <cfRule type="containsText" dxfId="54" priority="58" operator="containsText" text="$H$12">
      <formula>NOT(ISERROR(SEARCH($H$12,D108)))</formula>
      <formula>$H$12</formula>
    </cfRule>
    <cfRule type="containsText" dxfId="53" priority="59" operator="containsText" text="$H$11">
      <formula>NOT(ISERROR(SEARCH($H$11,D108)))</formula>
      <formula>$H$11</formula>
    </cfRule>
    <cfRule type="containsText" dxfId="52" priority="60" operator="containsText" text="$H$10">
      <formula>NOT(ISERROR(SEARCH($H$10,D108)))</formula>
      <formula>$H$10</formula>
    </cfRule>
    <cfRule type="containsText" dxfId="51" priority="61" operator="containsText" text="$H$9">
      <formula>NOT(ISERROR(SEARCH($H$9,D108)))</formula>
      <formula>$H$9</formula>
    </cfRule>
    <cfRule type="containsText" dxfId="50" priority="62" operator="containsText" text="$H$8">
      <formula>NOT(ISERROR(SEARCH($H$8,D108)))</formula>
      <formula>$H$8</formula>
    </cfRule>
    <cfRule type="containsText" dxfId="49" priority="63" operator="containsText" text="$H$8">
      <formula>NOT(ISERROR(SEARCH($H$8,D108)))</formula>
      <formula>$H$8</formula>
    </cfRule>
    <cfRule type="containsText" dxfId="48" priority="64" operator="containsText" text="$H$7">
      <formula>NOT(ISERROR(SEARCH($H$7,D108)))</formula>
      <formula>$H$7</formula>
    </cfRule>
  </conditionalFormatting>
  <conditionalFormatting sqref="D106">
    <cfRule type="containsText" dxfId="47" priority="49" operator="containsText" text="$H$13">
      <formula>NOT(ISERROR(SEARCH($H$13,D106)))</formula>
      <formula>$H$13</formula>
    </cfRule>
    <cfRule type="containsText" dxfId="46" priority="50" operator="containsText" text="$H$12">
      <formula>NOT(ISERROR(SEARCH($H$12,D106)))</formula>
      <formula>$H$12</formula>
    </cfRule>
    <cfRule type="containsText" dxfId="45" priority="51" operator="containsText" text="$H$11">
      <formula>NOT(ISERROR(SEARCH($H$11,D106)))</formula>
      <formula>$H$11</formula>
    </cfRule>
    <cfRule type="containsText" dxfId="44" priority="52" operator="containsText" text="$H$10">
      <formula>NOT(ISERROR(SEARCH($H$10,D106)))</formula>
      <formula>$H$10</formula>
    </cfRule>
    <cfRule type="containsText" dxfId="43" priority="53" operator="containsText" text="$H$9">
      <formula>NOT(ISERROR(SEARCH($H$9,D106)))</formula>
      <formula>$H$9</formula>
    </cfRule>
    <cfRule type="containsText" dxfId="42" priority="54" operator="containsText" text="$H$8">
      <formula>NOT(ISERROR(SEARCH($H$8,D106)))</formula>
      <formula>$H$8</formula>
    </cfRule>
    <cfRule type="containsText" dxfId="41" priority="55" operator="containsText" text="$H$8">
      <formula>NOT(ISERROR(SEARCH($H$8,D106)))</formula>
      <formula>$H$8</formula>
    </cfRule>
    <cfRule type="containsText" dxfId="40" priority="56" operator="containsText" text="$H$7">
      <formula>NOT(ISERROR(SEARCH($H$7,D106)))</formula>
      <formula>$H$7</formula>
    </cfRule>
  </conditionalFormatting>
  <conditionalFormatting sqref="D106">
    <cfRule type="containsText" dxfId="39" priority="41" operator="containsText" text="$H$13">
      <formula>NOT(ISERROR(SEARCH($H$13,D106)))</formula>
      <formula>$H$13</formula>
    </cfRule>
    <cfRule type="containsText" dxfId="38" priority="42" operator="containsText" text="$H$12">
      <formula>NOT(ISERROR(SEARCH($H$12,D106)))</formula>
      <formula>$H$12</formula>
    </cfRule>
    <cfRule type="containsText" dxfId="37" priority="43" operator="containsText" text="$H$11">
      <formula>NOT(ISERROR(SEARCH($H$11,D106)))</formula>
      <formula>$H$11</formula>
    </cfRule>
    <cfRule type="containsText" dxfId="36" priority="44" operator="containsText" text="$H$10">
      <formula>NOT(ISERROR(SEARCH($H$10,D106)))</formula>
      <formula>$H$10</formula>
    </cfRule>
    <cfRule type="containsText" dxfId="35" priority="45" operator="containsText" text="$H$9">
      <formula>NOT(ISERROR(SEARCH($H$9,D106)))</formula>
      <formula>$H$9</formula>
    </cfRule>
    <cfRule type="containsText" dxfId="34" priority="46" operator="containsText" text="$H$8">
      <formula>NOT(ISERROR(SEARCH($H$8,D106)))</formula>
      <formula>$H$8</formula>
    </cfRule>
    <cfRule type="containsText" dxfId="33" priority="47" operator="containsText" text="$H$8">
      <formula>NOT(ISERROR(SEARCH($H$8,D106)))</formula>
      <formula>$H$8</formula>
    </cfRule>
    <cfRule type="containsText" dxfId="32" priority="48" operator="containsText" text="$H$7">
      <formula>NOT(ISERROR(SEARCH($H$7,D106)))</formula>
      <formula>$H$7</formula>
    </cfRule>
  </conditionalFormatting>
  <conditionalFormatting sqref="D104">
    <cfRule type="containsText" dxfId="31" priority="33" operator="containsText" text="$H$13">
      <formula>NOT(ISERROR(SEARCH($H$13,D104)))</formula>
      <formula>$H$13</formula>
    </cfRule>
    <cfRule type="containsText" dxfId="30" priority="34" operator="containsText" text="$H$12">
      <formula>NOT(ISERROR(SEARCH($H$12,D104)))</formula>
      <formula>$H$12</formula>
    </cfRule>
    <cfRule type="containsText" dxfId="29" priority="35" operator="containsText" text="$H$11">
      <formula>NOT(ISERROR(SEARCH($H$11,D104)))</formula>
      <formula>$H$11</formula>
    </cfRule>
    <cfRule type="containsText" dxfId="28" priority="36" operator="containsText" text="$H$10">
      <formula>NOT(ISERROR(SEARCH($H$10,D104)))</formula>
      <formula>$H$10</formula>
    </cfRule>
    <cfRule type="containsText" dxfId="27" priority="37" operator="containsText" text="$H$9">
      <formula>NOT(ISERROR(SEARCH($H$9,D104)))</formula>
      <formula>$H$9</formula>
    </cfRule>
    <cfRule type="containsText" dxfId="26" priority="38" operator="containsText" text="$H$8">
      <formula>NOT(ISERROR(SEARCH($H$8,D104)))</formula>
      <formula>$H$8</formula>
    </cfRule>
    <cfRule type="containsText" dxfId="25" priority="39" operator="containsText" text="$H$8">
      <formula>NOT(ISERROR(SEARCH($H$8,D104)))</formula>
      <formula>$H$8</formula>
    </cfRule>
    <cfRule type="containsText" dxfId="24" priority="40" operator="containsText" text="$H$7">
      <formula>NOT(ISERROR(SEARCH($H$7,D104)))</formula>
      <formula>$H$7</formula>
    </cfRule>
  </conditionalFormatting>
  <conditionalFormatting sqref="D264:D265">
    <cfRule type="containsText" dxfId="23" priority="25" operator="containsText" text="$H$13">
      <formula>NOT(ISERROR(SEARCH($H$13,D264)))</formula>
      <formula>$H$13</formula>
    </cfRule>
    <cfRule type="containsText" dxfId="22" priority="26" operator="containsText" text="$H$12">
      <formula>NOT(ISERROR(SEARCH($H$12,D264)))</formula>
      <formula>$H$12</formula>
    </cfRule>
    <cfRule type="containsText" dxfId="21" priority="27" operator="containsText" text="$H$11">
      <formula>NOT(ISERROR(SEARCH($H$11,D264)))</formula>
      <formula>$H$11</formula>
    </cfRule>
    <cfRule type="containsText" dxfId="20" priority="28" operator="containsText" text="$H$10">
      <formula>NOT(ISERROR(SEARCH($H$10,D264)))</formula>
      <formula>$H$10</formula>
    </cfRule>
    <cfRule type="containsText" dxfId="19" priority="29" operator="containsText" text="$H$9">
      <formula>NOT(ISERROR(SEARCH($H$9,D264)))</formula>
      <formula>$H$9</formula>
    </cfRule>
    <cfRule type="containsText" dxfId="18" priority="30" operator="containsText" text="$H$8">
      <formula>NOT(ISERROR(SEARCH($H$8,D264)))</formula>
      <formula>$H$8</formula>
    </cfRule>
    <cfRule type="containsText" dxfId="17" priority="31" operator="containsText" text="$H$8">
      <formula>NOT(ISERROR(SEARCH($H$8,D264)))</formula>
      <formula>$H$8</formula>
    </cfRule>
    <cfRule type="containsText" dxfId="16" priority="32" operator="containsText" text="$H$7">
      <formula>NOT(ISERROR(SEARCH($H$7,D264)))</formula>
      <formula>$H$7</formula>
    </cfRule>
  </conditionalFormatting>
  <conditionalFormatting sqref="D260:D261">
    <cfRule type="containsText" dxfId="15" priority="9" operator="containsText" text="$H$13">
      <formula>NOT(ISERROR(SEARCH($H$13,D260)))</formula>
      <formula>$H$13</formula>
    </cfRule>
    <cfRule type="containsText" dxfId="14" priority="10" operator="containsText" text="$H$12">
      <formula>NOT(ISERROR(SEARCH($H$12,D260)))</formula>
      <formula>$H$12</formula>
    </cfRule>
    <cfRule type="containsText" dxfId="13" priority="11" operator="containsText" text="$H$11">
      <formula>NOT(ISERROR(SEARCH($H$11,D260)))</formula>
      <formula>$H$11</formula>
    </cfRule>
    <cfRule type="containsText" dxfId="12" priority="12" operator="containsText" text="$H$10">
      <formula>NOT(ISERROR(SEARCH($H$10,D260)))</formula>
      <formula>$H$10</formula>
    </cfRule>
    <cfRule type="containsText" dxfId="11" priority="13" operator="containsText" text="$H$9">
      <formula>NOT(ISERROR(SEARCH($H$9,D260)))</formula>
      <formula>$H$9</formula>
    </cfRule>
    <cfRule type="containsText" dxfId="10" priority="14" operator="containsText" text="$H$8">
      <formula>NOT(ISERROR(SEARCH($H$8,D260)))</formula>
      <formula>$H$8</formula>
    </cfRule>
    <cfRule type="containsText" dxfId="9" priority="15" operator="containsText" text="$H$8">
      <formula>NOT(ISERROR(SEARCH($H$8,D260)))</formula>
      <formula>$H$8</formula>
    </cfRule>
    <cfRule type="containsText" dxfId="8" priority="16" operator="containsText" text="$H$7">
      <formula>NOT(ISERROR(SEARCH($H$7,D260)))</formula>
      <formula>$H$7</formula>
    </cfRule>
  </conditionalFormatting>
  <conditionalFormatting sqref="D262:D263">
    <cfRule type="containsText" dxfId="7" priority="1" operator="containsText" text="$H$13">
      <formula>NOT(ISERROR(SEARCH($H$13,D262)))</formula>
      <formula>$H$13</formula>
    </cfRule>
    <cfRule type="containsText" dxfId="6" priority="2" operator="containsText" text="$H$12">
      <formula>NOT(ISERROR(SEARCH($H$12,D262)))</formula>
      <formula>$H$12</formula>
    </cfRule>
    <cfRule type="containsText" dxfId="5" priority="3" operator="containsText" text="$H$11">
      <formula>NOT(ISERROR(SEARCH($H$11,D262)))</formula>
      <formula>$H$11</formula>
    </cfRule>
    <cfRule type="containsText" dxfId="4" priority="4" operator="containsText" text="$H$10">
      <formula>NOT(ISERROR(SEARCH($H$10,D262)))</formula>
      <formula>$H$10</formula>
    </cfRule>
    <cfRule type="containsText" dxfId="3" priority="5" operator="containsText" text="$H$9">
      <formula>NOT(ISERROR(SEARCH($H$9,D262)))</formula>
      <formula>$H$9</formula>
    </cfRule>
    <cfRule type="containsText" dxfId="2" priority="6" operator="containsText" text="$H$8">
      <formula>NOT(ISERROR(SEARCH($H$8,D262)))</formula>
      <formula>$H$8</formula>
    </cfRule>
    <cfRule type="containsText" dxfId="1" priority="7" operator="containsText" text="$H$8">
      <formula>NOT(ISERROR(SEARCH($H$8,D262)))</formula>
      <formula>$H$8</formula>
    </cfRule>
    <cfRule type="containsText" dxfId="0" priority="8" operator="containsText" text="$H$7">
      <formula>NOT(ISERROR(SEARCH($H$7,D262)))</formula>
      <formula>$H$7</formula>
    </cfRule>
  </conditionalFormatting>
  <printOptions horizontalCentered="1" verticalCentered="1"/>
  <pageMargins left="0" right="0" top="0" bottom="0" header="0" footer="0"/>
  <pageSetup paperSize="9" scale="52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현재_통합_문서.ChangeCellColor_이상현">
                <anchor moveWithCells="1">
                  <from>
                    <xdr:col>7</xdr:col>
                    <xdr:colOff>9525</xdr:colOff>
                    <xdr:row>40</xdr:row>
                    <xdr:rowOff>200025</xdr:rowOff>
                  </from>
                  <to>
                    <xdr:col>7</xdr:col>
                    <xdr:colOff>1562100</xdr:colOff>
                    <xdr:row>42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현재_통합_문서.ChangeCellColor_홍봉희">
                <anchor moveWithCells="1">
                  <from>
                    <xdr:col>6</xdr:col>
                    <xdr:colOff>219075</xdr:colOff>
                    <xdr:row>36</xdr:row>
                    <xdr:rowOff>200025</xdr:rowOff>
                  </from>
                  <to>
                    <xdr:col>7</xdr:col>
                    <xdr:colOff>1533525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현재_통합_문서.ChangeCellColor_송길태">
                <anchor moveWithCells="1">
                  <from>
                    <xdr:col>7</xdr:col>
                    <xdr:colOff>9525</xdr:colOff>
                    <xdr:row>38</xdr:row>
                    <xdr:rowOff>200025</xdr:rowOff>
                  </from>
                  <to>
                    <xdr:col>7</xdr:col>
                    <xdr:colOff>1552575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현재_통합_문서.ChangeCellColor_김경민">
                <anchor moveWithCells="1">
                  <from>
                    <xdr:col>7</xdr:col>
                    <xdr:colOff>2419350</xdr:colOff>
                    <xdr:row>37</xdr:row>
                    <xdr:rowOff>0</xdr:rowOff>
                  </from>
                  <to>
                    <xdr:col>9</xdr:col>
                    <xdr:colOff>9525</xdr:colOff>
                    <xdr:row>38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Button 6">
              <controlPr defaultSize="0" print="0" autoFill="0" autoPict="0" macro="현재_통합_문서.ChangeCellColor_김지연">
                <anchor moveWithCells="1">
                  <from>
                    <xdr:col>7</xdr:col>
                    <xdr:colOff>2419350</xdr:colOff>
                    <xdr:row>38</xdr:row>
                    <xdr:rowOff>171450</xdr:rowOff>
                  </from>
                  <to>
                    <xdr:col>9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9" name="Button 8">
              <controlPr defaultSize="0" print="0" autoFill="0" autoPict="0" macro="현재_통합_문서.ChangeCellColor_이태훈">
                <anchor moveWithCells="1">
                  <from>
                    <xdr:col>7</xdr:col>
                    <xdr:colOff>2419350</xdr:colOff>
                    <xdr:row>40</xdr:row>
                    <xdr:rowOff>180975</xdr:rowOff>
                  </from>
                  <to>
                    <xdr:col>9</xdr:col>
                    <xdr:colOff>9525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0" name="Button 10">
              <controlPr defaultSize="0" print="0" autoFill="0" autoPict="0" macro="현재_통합_문서.ChangeCellColor_Clear">
                <anchor moveWithCells="1">
                  <from>
                    <xdr:col>9</xdr:col>
                    <xdr:colOff>676275</xdr:colOff>
                    <xdr:row>36</xdr:row>
                    <xdr:rowOff>209550</xdr:rowOff>
                  </from>
                  <to>
                    <xdr:col>11</xdr:col>
                    <xdr:colOff>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1" name="Button 11">
              <controlPr defaultSize="0" print="0" autoFill="0" autoPict="0" macro="현재_통합_문서.CounterByName">
                <anchor moveWithCells="1">
                  <from>
                    <xdr:col>6</xdr:col>
                    <xdr:colOff>219075</xdr:colOff>
                    <xdr:row>48</xdr:row>
                    <xdr:rowOff>190500</xdr:rowOff>
                  </from>
                  <to>
                    <xdr:col>7</xdr:col>
                    <xdr:colOff>1609725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2" name="Button 12">
              <controlPr defaultSize="0" print="0" autoFill="0" autoPict="0" macro="현재_통합_문서.ChangeCellColor_김태연">
                <anchor moveWithCells="1" sizeWithCells="1">
                  <from>
                    <xdr:col>7</xdr:col>
                    <xdr:colOff>2390775</xdr:colOff>
                    <xdr:row>42</xdr:row>
                    <xdr:rowOff>200025</xdr:rowOff>
                  </from>
                  <to>
                    <xdr:col>9</xdr:col>
                    <xdr:colOff>9525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3" name="Button 14">
              <controlPr defaultSize="0" print="0" autoFill="0" autoPict="0" macro="현재_통합_문서.ChangeCellColor_박진선">
                <anchor moveWithCells="1" sizeWithCells="1">
                  <from>
                    <xdr:col>7</xdr:col>
                    <xdr:colOff>0</xdr:colOff>
                    <xdr:row>44</xdr:row>
                    <xdr:rowOff>200025</xdr:rowOff>
                  </from>
                  <to>
                    <xdr:col>7</xdr:col>
                    <xdr:colOff>1590675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4" name="Button 15">
              <controlPr defaultSize="0" print="0" autoFill="0" autoPict="0" macro="현재_통합_문서.ChangeCellColor_감진규">
                <anchor moveWithCells="1" sizeWithCells="1">
                  <from>
                    <xdr:col>7</xdr:col>
                    <xdr:colOff>9525</xdr:colOff>
                    <xdr:row>42</xdr:row>
                    <xdr:rowOff>200025</xdr:rowOff>
                  </from>
                  <to>
                    <xdr:col>7</xdr:col>
                    <xdr:colOff>1581150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5" name="Button 16">
              <controlPr defaultSize="0" print="0" autoFill="0" autoPict="0" macro="현재_통합_문서.ChangeCellColor_김명희">
                <anchor moveWithCells="1" sizeWithCells="1">
                  <from>
                    <xdr:col>7</xdr:col>
                    <xdr:colOff>9525</xdr:colOff>
                    <xdr:row>46</xdr:row>
                    <xdr:rowOff>190500</xdr:rowOff>
                  </from>
                  <to>
                    <xdr:col>7</xdr:col>
                    <xdr:colOff>1619250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6" name="Button 17">
              <controlPr defaultSize="0" print="0" autoFill="0" autoPict="0" macro="현재_통합_문서.ChangeCellColor_한상곤">
                <anchor moveWithCells="1" sizeWithCells="1">
                  <from>
                    <xdr:col>7</xdr:col>
                    <xdr:colOff>2409825</xdr:colOff>
                    <xdr:row>44</xdr:row>
                    <xdr:rowOff>200025</xdr:rowOff>
                  </from>
                  <to>
                    <xdr:col>8</xdr:col>
                    <xdr:colOff>1381125</xdr:colOff>
                    <xdr:row>46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15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2</vt:i4>
      </vt:variant>
    </vt:vector>
  </HeadingPairs>
  <TitlesOfParts>
    <vt:vector size="3" baseType="lpstr">
      <vt:lpstr>강의배치</vt:lpstr>
      <vt:lpstr>강의배치!Print_Area</vt:lpstr>
      <vt:lpstr>강의배치!Print_Titles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bitacademy</dc:creator>
  <cp:lastModifiedBy>user</cp:lastModifiedBy>
  <cp:revision>3</cp:revision>
  <cp:lastPrinted>2023-05-16T09:00:50Z</cp:lastPrinted>
  <dcterms:created xsi:type="dcterms:W3CDTF">2011-09-16T05:41:21Z</dcterms:created>
  <dcterms:modified xsi:type="dcterms:W3CDTF">2023-06-04T23:58:24Z</dcterms:modified>
  <cp:version>0906.0200.01</cp:version>
</cp:coreProperties>
</file>